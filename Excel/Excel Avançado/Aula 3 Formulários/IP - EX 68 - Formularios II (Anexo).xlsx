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4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5.xml" ContentType="application/vnd.openxmlformats-officedocument.drawing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s\Excel\Excel Avançado\Aula 3 Formulários\"/>
    </mc:Choice>
  </mc:AlternateContent>
  <bookViews>
    <workbookView xWindow="0" yWindow="0" windowWidth="20490" windowHeight="7050" activeTab="2"/>
  </bookViews>
  <sheets>
    <sheet name="CONTEÚDO" sheetId="1" r:id="rId1"/>
    <sheet name="EXPLICAÇÃO" sheetId="4" r:id="rId2"/>
    <sheet name="EXERCÍCIOS" sheetId="5" r:id="rId3"/>
    <sheet name="EXERCÍCIOS (resolvido1)" sheetId="7" state="hidden" r:id="rId4"/>
    <sheet name="EXERCÍCIOS (2)" sheetId="9" state="hidden" r:id="rId5"/>
    <sheet name="LISTAS" sheetId="6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15" i="5" l="1"/>
  <c r="I15" i="5" s="1"/>
  <c r="F14" i="4"/>
  <c r="K11" i="4" s="1"/>
  <c r="B2" i="9" l="1"/>
  <c r="B2" i="7"/>
  <c r="B2" i="5" l="1"/>
  <c r="B2" i="4"/>
  <c r="F18" i="9" l="1"/>
  <c r="M18" i="9" s="1"/>
  <c r="F16" i="9"/>
  <c r="M16" i="9" s="1"/>
  <c r="F14" i="9"/>
  <c r="M14" i="9" s="1"/>
  <c r="F12" i="9"/>
  <c r="M12" i="9" s="1"/>
  <c r="G24" i="9" s="1"/>
  <c r="J11" i="7" l="1"/>
</calcChain>
</file>

<file path=xl/sharedStrings.xml><?xml version="1.0" encoding="utf-8"?>
<sst xmlns="http://schemas.openxmlformats.org/spreadsheetml/2006/main" count="151" uniqueCount="148">
  <si>
    <t>EXEMPLO</t>
  </si>
  <si>
    <t>NOME</t>
  </si>
  <si>
    <t>NOTA</t>
  </si>
  <si>
    <t>LUCAS</t>
  </si>
  <si>
    <t>JOÃO</t>
  </si>
  <si>
    <t>MARIA</t>
  </si>
  <si>
    <t>JOSÉ</t>
  </si>
  <si>
    <t>GABI</t>
  </si>
  <si>
    <t>FORMULÁRIO:</t>
  </si>
  <si>
    <t>RESULTADO:</t>
  </si>
  <si>
    <t>APROVADO =&gt; MAIOR OU IGUAL A 5</t>
  </si>
  <si>
    <t>REPROVADO =&gt; MENOR QUE 5</t>
  </si>
  <si>
    <t>Higiene pessoal</t>
  </si>
  <si>
    <t>Absorvente higiênico</t>
  </si>
  <si>
    <t>Algodão</t>
  </si>
  <si>
    <r>
      <rPr>
        <sz val="12"/>
        <rFont val="Calibri"/>
        <family val="2"/>
      </rPr>
      <t xml:space="preserve">Anti-séptico </t>
    </r>
    <r>
      <rPr>
        <sz val="12"/>
        <color indexed="8"/>
        <rFont val="Calibri"/>
        <family val="2"/>
      </rPr>
      <t>bucal</t>
    </r>
  </si>
  <si>
    <t>Condicionador</t>
  </si>
  <si>
    <t>Cotonetes</t>
  </si>
  <si>
    <t>Creme de barbear</t>
  </si>
  <si>
    <t>Creme hidratante para as mãos</t>
  </si>
  <si>
    <t>Creme hidratante para o corpo</t>
  </si>
  <si>
    <t>Creme para pentear</t>
  </si>
  <si>
    <t>Desodorante</t>
  </si>
  <si>
    <t>Escova de cabelos</t>
  </si>
  <si>
    <t>Escova de dentes</t>
  </si>
  <si>
    <t>Esmalte</t>
  </si>
  <si>
    <t>Esponja de banho</t>
  </si>
  <si>
    <t>Fio dental</t>
  </si>
  <si>
    <t>Fralda descartável</t>
  </si>
  <si>
    <t>Lâminas de barbear</t>
  </si>
  <si>
    <t>Lenços umedecidos</t>
  </si>
  <si>
    <t>Lixa de unhas</t>
  </si>
  <si>
    <t>Loção contra assaduras</t>
  </si>
  <si>
    <t>Loção de limpeza</t>
  </si>
  <si>
    <t>Papel higiênico</t>
  </si>
  <si>
    <t>Pasta de dentes</t>
  </si>
  <si>
    <t>Pente</t>
  </si>
  <si>
    <t>Protetor solar</t>
  </si>
  <si>
    <t>Removedor de esmaltes</t>
  </si>
  <si>
    <t>Sabonete em barra</t>
  </si>
  <si>
    <t>Sabonete líquido</t>
  </si>
  <si>
    <t>Talco infantil</t>
  </si>
  <si>
    <t>Xampu</t>
  </si>
  <si>
    <t>Limpeza</t>
  </si>
  <si>
    <t>Água sanitária</t>
  </si>
  <si>
    <t>Álcool</t>
  </si>
  <si>
    <t>Alvejante</t>
  </si>
  <si>
    <t>Amaciante</t>
  </si>
  <si>
    <t>Anil</t>
  </si>
  <si>
    <t>Cera em pasta</t>
  </si>
  <si>
    <t>Cera líquida</t>
  </si>
  <si>
    <t>Desentupidor de pia</t>
  </si>
  <si>
    <t>Desinfetante banheiro</t>
  </si>
  <si>
    <t>Desinfetante geral</t>
  </si>
  <si>
    <t>Desodorizador (banheiro)</t>
  </si>
  <si>
    <t>Desodorizador (casa)</t>
  </si>
  <si>
    <t>Detergente</t>
  </si>
  <si>
    <t>Eliminador de odores (geladeira)</t>
  </si>
  <si>
    <t>Eliminador de odores (roupas)</t>
  </si>
  <si>
    <t>Esponja de aço</t>
  </si>
  <si>
    <t>Esponja dupla face</t>
  </si>
  <si>
    <t>Flanela de limpeza</t>
  </si>
  <si>
    <t>Graxa</t>
  </si>
  <si>
    <t>Guardanapo de papel</t>
  </si>
  <si>
    <t>Inseticida e raticida</t>
  </si>
  <si>
    <t>Lã de aço</t>
  </si>
  <si>
    <t>Limpador</t>
  </si>
  <si>
    <t>Limpador de tapetes</t>
  </si>
  <si>
    <t>Limpa-forno</t>
  </si>
  <si>
    <t>Limpa-vidros</t>
  </si>
  <si>
    <t>Lustra-móveis</t>
  </si>
  <si>
    <t>Luva doméstica</t>
  </si>
  <si>
    <t>Pano de limpeza de cozinha</t>
  </si>
  <si>
    <t>Passa-roupas</t>
  </si>
  <si>
    <t>Polidor de metais</t>
  </si>
  <si>
    <t>Pré-lavagem</t>
  </si>
  <si>
    <t>Removedor</t>
  </si>
  <si>
    <t>Rodo</t>
  </si>
  <si>
    <t>Rodo de pia</t>
  </si>
  <si>
    <t>Sabão de coco</t>
  </si>
  <si>
    <t>Sabão em barra</t>
  </si>
  <si>
    <t>Sabão em pó</t>
  </si>
  <si>
    <t>Sabão líquido (roupas)</t>
  </si>
  <si>
    <t>Saco de lixo grande</t>
  </si>
  <si>
    <t>Saco de lixo médio</t>
  </si>
  <si>
    <t>Saco de lixo pequeno</t>
  </si>
  <si>
    <t>Saponáceo</t>
  </si>
  <si>
    <t>Tira-manchas</t>
  </si>
  <si>
    <t>Toalha de papel</t>
  </si>
  <si>
    <t>Vassoura</t>
  </si>
  <si>
    <t>Laticínios e carnes</t>
  </si>
  <si>
    <t>Carne bovina</t>
  </si>
  <si>
    <t>Carne suína</t>
  </si>
  <si>
    <t>Coalhada</t>
  </si>
  <si>
    <t>Cream cheese</t>
  </si>
  <si>
    <t>Creme de leite fresco</t>
  </si>
  <si>
    <t>Frango</t>
  </si>
  <si>
    <t>Iogurte</t>
  </si>
  <si>
    <t>Leite</t>
  </si>
  <si>
    <t>Linguiça</t>
  </si>
  <si>
    <t>Patê</t>
  </si>
  <si>
    <t>Peixe</t>
  </si>
  <si>
    <t>Presunto</t>
  </si>
  <si>
    <t>Queijo</t>
  </si>
  <si>
    <t>Requeijão cremoso</t>
  </si>
  <si>
    <t>Salsicha</t>
  </si>
  <si>
    <t>Bebidas</t>
  </si>
  <si>
    <t>Água</t>
  </si>
  <si>
    <t>Aperitivos e licores</t>
  </si>
  <si>
    <t>Cerveja</t>
  </si>
  <si>
    <t>Chás prontos</t>
  </si>
  <si>
    <t>Destilados</t>
  </si>
  <si>
    <t>Isotônicos e energéticos</t>
  </si>
  <si>
    <t>Outros</t>
  </si>
  <si>
    <t>Refesco em pó</t>
  </si>
  <si>
    <t>Refrigerantes</t>
  </si>
  <si>
    <t>Sucos</t>
  </si>
  <si>
    <t>Vinho</t>
  </si>
  <si>
    <t>-------------------------------------------------------------------------------------------------------------------------------------------------------------------------------------------------------------------------------</t>
  </si>
  <si>
    <t>Resultado da Compra</t>
  </si>
  <si>
    <t>* selecionar intervalo e add vínculo</t>
  </si>
  <si>
    <t>* add vínculo</t>
  </si>
  <si>
    <t>*add vínculo</t>
  </si>
  <si>
    <t>*selecionar intervalo e add vínculo</t>
  </si>
  <si>
    <t>* add vínculo (e caixa de grupo)</t>
  </si>
  <si>
    <t>QUANT.</t>
  </si>
  <si>
    <t>TOTAL</t>
  </si>
  <si>
    <t>CHECK</t>
  </si>
  <si>
    <t>PRODUTO</t>
  </si>
  <si>
    <t>INCLUSA</t>
  </si>
  <si>
    <t>NÃO INCLUSA</t>
  </si>
  <si>
    <t>TOTAL FINAL</t>
  </si>
  <si>
    <t>&lt;------</t>
  </si>
  <si>
    <t>-----&gt;</t>
  </si>
  <si>
    <t>OCULTAR</t>
  </si>
  <si>
    <t>COMO USAR VÍNCULO COM CADA BOTÃO</t>
  </si>
  <si>
    <t>&gt;&gt; ONE-LINER &lt;&lt;</t>
  </si>
  <si>
    <t>&gt;&gt; CONTEÚDO DA AULA &lt;&lt;</t>
  </si>
  <si>
    <t>&gt;&gt; EXERCÍCIO &lt;&lt;</t>
  </si>
  <si>
    <t>-&gt; faça um formulário de compra de produtos baseando-se na planilha "LISTAS"</t>
  </si>
  <si>
    <t>-&gt; neste formulário há necessidade de 2 formas de pagamento (crédito/débito)</t>
  </si>
  <si>
    <t>-&gt; não esqueça de dar um descontinho se for no débito. 5% está bom, o que acha?</t>
  </si>
  <si>
    <t>-&gt; e ah, tem que ter um botão de entrega inclusva. Se este for selecionado, adicione +R$ 50,00... Baratinho.</t>
  </si>
  <si>
    <t>"Para a combinação eficaz de botões de formulário front com fórmulas, exige-se que as fórmulas sejam vinculadas a células que recebam a resposta da variação do botão do formulário criado."</t>
  </si>
  <si>
    <t>Formulários (front) II</t>
  </si>
  <si>
    <t>1. Apicação</t>
  </si>
  <si>
    <t>2. Exemplo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</si>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</sst>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name val="Calibri"/>
      <family val="2"/>
    </font>
    <font>
      <sz val="12"/>
      <color indexed="8"/>
      <name val="Calibri"/>
      <family val="2"/>
    </font>
    <font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sz val="8"/>
      <color rgb="FF000000"/>
      <name val="Segoe UI"/>
      <family val="2"/>
    </font>
    <font>
      <b/>
      <sz val="22"/>
      <color rgb="FF002060"/>
      <name val="Segoe UI Light"/>
      <family val="2"/>
    </font>
    <font>
      <b/>
      <i/>
      <sz val="12"/>
      <color rgb="FFE45286"/>
      <name val="Calibri"/>
      <family val="2"/>
      <scheme val="minor"/>
    </font>
    <font>
      <b/>
      <i/>
      <sz val="11"/>
      <color rgb="FF224086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sz val="8"/>
      <name val="Segoe UI"/>
      <family val="2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 tint="0.499984740745262"/>
      </top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medium">
        <color theme="1" tint="0.499984740745262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92">
    <xf numFmtId="0" fontId="0" fillId="0" borderId="0" xfId="0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2" xfId="0" applyFill="1" applyBorder="1"/>
    <xf numFmtId="0" fontId="0" fillId="3" borderId="10" xfId="0" applyFill="1" applyBorder="1"/>
    <xf numFmtId="0" fontId="2" fillId="0" borderId="0" xfId="0" applyFont="1"/>
    <xf numFmtId="0" fontId="0" fillId="0" borderId="0" xfId="0" applyFont="1"/>
    <xf numFmtId="0" fontId="3" fillId="0" borderId="0" xfId="0" applyFont="1"/>
    <xf numFmtId="0" fontId="4" fillId="0" borderId="0" xfId="0" applyFont="1"/>
    <xf numFmtId="0" fontId="0" fillId="0" borderId="0" xfId="0" quotePrefix="1"/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10" fillId="0" borderId="0" xfId="0" applyFont="1" applyBorder="1"/>
    <xf numFmtId="0" fontId="0" fillId="0" borderId="0" xfId="0" applyBorder="1"/>
    <xf numFmtId="0" fontId="0" fillId="0" borderId="7" xfId="0" applyBorder="1"/>
    <xf numFmtId="0" fontId="11" fillId="0" borderId="4" xfId="0" applyFont="1" applyBorder="1"/>
    <xf numFmtId="0" fontId="15" fillId="0" borderId="0" xfId="0" applyFont="1"/>
    <xf numFmtId="0" fontId="16" fillId="0" borderId="0" xfId="0" applyFont="1"/>
    <xf numFmtId="0" fontId="1" fillId="3" borderId="11" xfId="0" applyFont="1" applyFill="1" applyBorder="1"/>
    <xf numFmtId="0" fontId="1" fillId="5" borderId="11" xfId="0" applyFont="1" applyFill="1" applyBorder="1"/>
    <xf numFmtId="0" fontId="0" fillId="5" borderId="12" xfId="0" applyFill="1" applyBorder="1"/>
    <xf numFmtId="0" fontId="0" fillId="5" borderId="10" xfId="0" applyFill="1" applyBorder="1"/>
    <xf numFmtId="0" fontId="17" fillId="4" borderId="27" xfId="0" applyFont="1" applyFill="1" applyBorder="1"/>
    <xf numFmtId="0" fontId="14" fillId="4" borderId="28" xfId="0" applyFont="1" applyFill="1" applyBorder="1" applyAlignment="1">
      <alignment horizontal="center" vertical="center"/>
    </xf>
    <xf numFmtId="0" fontId="14" fillId="4" borderId="29" xfId="0" applyFont="1" applyFill="1" applyBorder="1" applyAlignment="1">
      <alignment horizontal="center" vertical="center"/>
    </xf>
    <xf numFmtId="0" fontId="0" fillId="4" borderId="28" xfId="0" applyFill="1" applyBorder="1"/>
    <xf numFmtId="0" fontId="0" fillId="4" borderId="29" xfId="0" applyFill="1" applyBorder="1"/>
    <xf numFmtId="0" fontId="19" fillId="4" borderId="33" xfId="0" applyFont="1" applyFill="1" applyBorder="1"/>
    <xf numFmtId="0" fontId="0" fillId="4" borderId="0" xfId="0" applyFill="1"/>
    <xf numFmtId="0" fontId="19" fillId="4" borderId="0" xfId="0" applyFont="1" applyFill="1"/>
    <xf numFmtId="0" fontId="19" fillId="4" borderId="34" xfId="0" applyFont="1" applyFill="1" applyBorder="1"/>
    <xf numFmtId="0" fontId="19" fillId="4" borderId="30" xfId="0" applyFont="1" applyFill="1" applyBorder="1"/>
    <xf numFmtId="0" fontId="0" fillId="4" borderId="31" xfId="0" applyFill="1" applyBorder="1"/>
    <xf numFmtId="0" fontId="0" fillId="4" borderId="32" xfId="0" applyFill="1" applyBorder="1"/>
    <xf numFmtId="0" fontId="17" fillId="2" borderId="13" xfId="0" applyFont="1" applyFill="1" applyBorder="1"/>
    <xf numFmtId="0" fontId="0" fillId="2" borderId="14" xfId="0" applyFill="1" applyBorder="1"/>
    <xf numFmtId="0" fontId="0" fillId="2" borderId="17" xfId="0" applyFill="1" applyBorder="1"/>
    <xf numFmtId="0" fontId="19" fillId="2" borderId="35" xfId="0" quotePrefix="1" applyFont="1" applyFill="1" applyBorder="1"/>
    <xf numFmtId="0" fontId="0" fillId="2" borderId="0" xfId="0" applyFill="1" applyBorder="1"/>
    <xf numFmtId="0" fontId="19" fillId="2" borderId="0" xfId="0" applyFont="1" applyFill="1" applyBorder="1"/>
    <xf numFmtId="0" fontId="0" fillId="2" borderId="36" xfId="0" applyFill="1" applyBorder="1"/>
    <xf numFmtId="0" fontId="19" fillId="2" borderId="15" xfId="0" quotePrefix="1" applyFont="1" applyFill="1" applyBorder="1"/>
    <xf numFmtId="0" fontId="0" fillId="2" borderId="16" xfId="0" applyFill="1" applyBorder="1"/>
    <xf numFmtId="0" fontId="0" fillId="2" borderId="18" xfId="0" applyFill="1" applyBorder="1"/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8" fillId="4" borderId="30" xfId="0" applyFont="1" applyFill="1" applyBorder="1" applyAlignment="1">
      <alignment horizontal="left" wrapText="1"/>
    </xf>
    <xf numFmtId="0" fontId="18" fillId="4" borderId="31" xfId="0" applyFont="1" applyFill="1" applyBorder="1" applyAlignment="1">
      <alignment horizontal="left" wrapText="1"/>
    </xf>
    <xf numFmtId="0" fontId="18" fillId="4" borderId="32" xfId="0" applyFont="1" applyFill="1" applyBorder="1" applyAlignment="1">
      <alignment horizontal="left" wrapText="1"/>
    </xf>
    <xf numFmtId="44" fontId="9" fillId="2" borderId="1" xfId="1" applyFont="1" applyFill="1" applyBorder="1" applyAlignment="1">
      <alignment horizontal="center"/>
    </xf>
    <xf numFmtId="44" fontId="9" fillId="2" borderId="2" xfId="1" applyFont="1" applyFill="1" applyBorder="1" applyAlignment="1">
      <alignment horizontal="center"/>
    </xf>
    <xf numFmtId="44" fontId="9" fillId="2" borderId="3" xfId="1" applyFont="1" applyFill="1" applyBorder="1" applyAlignment="1">
      <alignment horizontal="center"/>
    </xf>
    <xf numFmtId="44" fontId="9" fillId="2" borderId="4" xfId="1" applyFont="1" applyFill="1" applyBorder="1" applyAlignment="1">
      <alignment horizontal="center"/>
    </xf>
    <xf numFmtId="44" fontId="9" fillId="2" borderId="0" xfId="1" applyFont="1" applyFill="1" applyBorder="1" applyAlignment="1">
      <alignment horizontal="center"/>
    </xf>
    <xf numFmtId="44" fontId="9" fillId="2" borderId="5" xfId="1" applyFont="1" applyFill="1" applyBorder="1" applyAlignment="1">
      <alignment horizontal="center"/>
    </xf>
    <xf numFmtId="44" fontId="9" fillId="2" borderId="6" xfId="1" applyFont="1" applyFill="1" applyBorder="1" applyAlignment="1">
      <alignment horizontal="center"/>
    </xf>
    <xf numFmtId="44" fontId="9" fillId="2" borderId="7" xfId="1" applyFont="1" applyFill="1" applyBorder="1" applyAlignment="1">
      <alignment horizontal="center"/>
    </xf>
    <xf numFmtId="44" fontId="9" fillId="2" borderId="8" xfId="1" applyFont="1" applyFill="1" applyBorder="1" applyAlignment="1">
      <alignment horizontal="center"/>
    </xf>
    <xf numFmtId="44" fontId="12" fillId="4" borderId="9" xfId="1" applyFont="1" applyFill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21" fillId="0" borderId="0" xfId="0" applyFont="1"/>
    <xf numFmtId="0" fontId="0" fillId="0" borderId="0" xfId="0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0" fontId="0" fillId="0" borderId="0" xfId="0" applyFont="1" applyAlignment="1">
      <alignment horizontal="left"/>
    </xf>
  </cellXfs>
  <cellStyles count="2">
    <cellStyle name="Moeda" xfId="1" builtinId="4"/>
    <cellStyle name="Normal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E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6" noThreeD="1" sel="0" val="0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Spin" dx="22" max="30000" page="10" val="0"/>
</file>

<file path=xl/ctrlProps/ctrlProp4.xml><?xml version="1.0" encoding="utf-8"?>
<formControlPr xmlns="http://schemas.microsoft.com/office/spreadsheetml/2009/9/main" objectType="List" dx="22" noThreeD="1" sel="0" val="0"/>
</file>

<file path=xl/ctrlProps/ctrlProp5.xml><?xml version="1.0" encoding="utf-8"?>
<formControlPr xmlns="http://schemas.microsoft.com/office/spreadsheetml/2009/9/main" objectType="Radio" firstButton="1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Scroll" dx="22" max="100" page="10" val="0"/>
</file>

<file path=xl/ctrlProps/ctrlProp8.xml><?xml version="1.0" encoding="utf-8"?>
<formControlPr xmlns="http://schemas.microsoft.com/office/spreadsheetml/2009/9/main" objectType="Scroll" dx="22" horiz="1" max="100" page="10" val="0"/>
</file>

<file path=xl/ctrlProps/ctrlProp9.xml><?xml version="1.0" encoding="utf-8"?>
<formControlPr xmlns="http://schemas.microsoft.com/office/spreadsheetml/2009/9/main" objectType="Drop" dropStyle="combo" dx="16" fmlaLink="$E$14" fmlaRange="$B$12:$B$16" sel="3" val="0"/>
</file>

<file path=xl/ctrlProps/ctrlProp10.xml><?xml version="1.0" encoding="utf-8"?>
<formControlPr xmlns="http://schemas.microsoft.com/office/spreadsheetml/2009/9/main" objectType="Drop" dropStyle="combo" dx="16" fmlaLink="$N$15" fmlaRange="LISTAS!$B$5:$B$34" sel="11" val="5"/>
</file>

<file path=xl/ctrlProps/ctrlProp11.xml><?xml version="1.0" encoding="utf-8"?>
<formControlPr xmlns="http://schemas.microsoft.com/office/spreadsheetml/2009/9/main" objectType="Spin" dx="22" fmlaLink="$P$15" max="100" page="10" val="6"/>
</file>

<file path=xl/ctrlProps/ctrlProp12.xml><?xml version="1.0" encoding="utf-8"?>
<formControlPr xmlns="http://schemas.microsoft.com/office/spreadsheetml/2009/9/main" objectType="GBox" noThreeD="1"/>
</file>

<file path=xl/ctrlProps/ctrlProp13.xml><?xml version="1.0" encoding="utf-8"?>
<formControlPr xmlns="http://schemas.microsoft.com/office/spreadsheetml/2009/9/main" objectType="List" dx="16" fmlaLink="$B$17" fmlaRange="LISTAS!$B$5:$B$34" noThreeD="1" sel="2" val="0"/>
</file>

<file path=xl/ctrlProps/ctrlProp14.xml><?xml version="1.0" encoding="utf-8"?>
<formControlPr xmlns="http://schemas.microsoft.com/office/spreadsheetml/2009/9/main" objectType="List" dx="16" fmlaLink="$E$17" fmlaRange="LISTAS!$E$5:$E$50" noThreeD="1" sel="11" val="10"/>
</file>

<file path=xl/ctrlProps/ctrlProp15.xml><?xml version="1.0" encoding="utf-8"?>
<formControlPr xmlns="http://schemas.microsoft.com/office/spreadsheetml/2009/9/main" objectType="Radio" firstButton="1" fmlaLink="$H$17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CheckBox" checked="Checked" fmlaLink="$Q$12" lockText="1" noThreeD="1"/>
</file>

<file path=xl/ctrlProps/ctrlProp18.xml><?xml version="1.0" encoding="utf-8"?>
<formControlPr xmlns="http://schemas.microsoft.com/office/spreadsheetml/2009/9/main" objectType="Spin" dx="22" fmlaLink="$K$12" max="30000" page="10" val="4"/>
</file>

<file path=xl/ctrlProps/ctrlProp19.xml><?xml version="1.0" encoding="utf-8"?>
<formControlPr xmlns="http://schemas.microsoft.com/office/spreadsheetml/2009/9/main" objectType="CheckBox" checked="Checked" fmlaLink="$Q$14" lockText="1" noThreeD="1"/>
</file>

<file path=xl/ctrlProps/ctrlProp20.xml><?xml version="1.0" encoding="utf-8"?>
<formControlPr xmlns="http://schemas.microsoft.com/office/spreadsheetml/2009/9/main" objectType="Spin" dx="22" fmlaLink="$K$14" max="30000" page="10" val="6"/>
</file>

<file path=xl/ctrlProps/ctrlProp21.xml><?xml version="1.0" encoding="utf-8"?>
<formControlPr xmlns="http://schemas.microsoft.com/office/spreadsheetml/2009/9/main" objectType="CheckBox" checked="Checked" fmlaLink="$Q$16" lockText="1" noThreeD="1"/>
</file>

<file path=xl/ctrlProps/ctrlProp22.xml><?xml version="1.0" encoding="utf-8"?>
<formControlPr xmlns="http://schemas.microsoft.com/office/spreadsheetml/2009/9/main" objectType="Spin" dx="22" fmlaLink="$K$16" max="30000" page="10" val="0"/>
</file>

<file path=xl/ctrlProps/ctrlProp23.xml><?xml version="1.0" encoding="utf-8"?>
<formControlPr xmlns="http://schemas.microsoft.com/office/spreadsheetml/2009/9/main" objectType="CheckBox" checked="Checked" fmlaLink="$Q$18" lockText="1" noThreeD="1"/>
</file>

<file path=xl/ctrlProps/ctrlProp24.xml><?xml version="1.0" encoding="utf-8"?>
<formControlPr xmlns="http://schemas.microsoft.com/office/spreadsheetml/2009/9/main" objectType="Spin" dx="22" fmlaLink="$K$18" max="30000" page="10" val="2"/>
</file>

<file path=xl/ctrlProps/ctrlProp25.xml><?xml version="1.0" encoding="utf-8"?>
<formControlPr xmlns="http://schemas.microsoft.com/office/spreadsheetml/2009/9/main" objectType="GBox" noThreeD="1"/>
</file>

<file path=xl/ctrlProps/ctrlProp26.xml><?xml version="1.0" encoding="utf-8"?>
<formControlPr xmlns="http://schemas.microsoft.com/office/spreadsheetml/2009/9/main" objectType="Radio" checked="Checked" firstButton="1" fmlaLink="$S$16" lockText="1" noThreeD="1"/>
</file>

<file path=xl/ctrlProps/ctrlProp27.xml><?xml version="1.0" encoding="utf-8"?>
<formControlPr xmlns="http://schemas.microsoft.com/office/spreadsheetml/2009/9/main" objectType="Radio" lockText="1" noThreeD="1"/>
</file>

<file path=xl/ctrlProps/ctrlProp28.xml><?xml version="1.0" encoding="utf-8"?>
<formControlPr xmlns="http://schemas.microsoft.com/office/spreadsheetml/2009/9/main" objectType="GBox" noThreeD="1"/>
</file>

<file path=xl/ctrlProps/ctrlProp29.xml><?xml version="1.0" encoding="utf-8"?>
<formControlPr xmlns="http://schemas.microsoft.com/office/spreadsheetml/2009/9/main" objectType="Drop" dropStyle="combo" dx="16" fmlaLink="$S$14" fmlaRange="$S$12:$S$13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48100" y="828675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22</xdr:row>
          <xdr:rowOff>38100</xdr:rowOff>
        </xdr:from>
        <xdr:to>
          <xdr:col>2</xdr:col>
          <xdr:colOff>581025</xdr:colOff>
          <xdr:row>23</xdr:row>
          <xdr:rowOff>95250</xdr:rowOff>
        </xdr:to>
        <xdr:sp macro="" textlink="">
          <xdr:nvSpPr>
            <xdr:cNvPr id="2060" name="Drop Down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24</xdr:row>
          <xdr:rowOff>161925</xdr:rowOff>
        </xdr:from>
        <xdr:to>
          <xdr:col>3</xdr:col>
          <xdr:colOff>180975</xdr:colOff>
          <xdr:row>26</xdr:row>
          <xdr:rowOff>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Caixa de seleção 13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40</xdr:row>
          <xdr:rowOff>161925</xdr:rowOff>
        </xdr:from>
        <xdr:to>
          <xdr:col>1</xdr:col>
          <xdr:colOff>352425</xdr:colOff>
          <xdr:row>43</xdr:row>
          <xdr:rowOff>47625</xdr:rowOff>
        </xdr:to>
        <xdr:sp macro="" textlink="">
          <xdr:nvSpPr>
            <xdr:cNvPr id="2062" name="Spinner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45</xdr:row>
          <xdr:rowOff>28575</xdr:rowOff>
        </xdr:from>
        <xdr:to>
          <xdr:col>2</xdr:col>
          <xdr:colOff>419100</xdr:colOff>
          <xdr:row>49</xdr:row>
          <xdr:rowOff>171450</xdr:rowOff>
        </xdr:to>
        <xdr:sp macro="" textlink="">
          <xdr:nvSpPr>
            <xdr:cNvPr id="2063" name="List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28</xdr:row>
          <xdr:rowOff>0</xdr:rowOff>
        </xdr:from>
        <xdr:to>
          <xdr:col>3</xdr:col>
          <xdr:colOff>0</xdr:colOff>
          <xdr:row>29</xdr:row>
          <xdr:rowOff>47625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Botão de opção 16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29</xdr:row>
          <xdr:rowOff>66675</xdr:rowOff>
        </xdr:from>
        <xdr:to>
          <xdr:col>3</xdr:col>
          <xdr:colOff>600075</xdr:colOff>
          <xdr:row>30</xdr:row>
          <xdr:rowOff>95250</xdr:rowOff>
        </xdr:to>
        <xdr:sp macro="" textlink="">
          <xdr:nvSpPr>
            <xdr:cNvPr id="2065" name="Option Button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Botão de opção 16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32</xdr:row>
          <xdr:rowOff>76200</xdr:rowOff>
        </xdr:from>
        <xdr:to>
          <xdr:col>1</xdr:col>
          <xdr:colOff>304800</xdr:colOff>
          <xdr:row>36</xdr:row>
          <xdr:rowOff>142875</xdr:rowOff>
        </xdr:to>
        <xdr:sp macro="" textlink="">
          <xdr:nvSpPr>
            <xdr:cNvPr id="2066" name="Scroll Bar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37</xdr:row>
          <xdr:rowOff>66675</xdr:rowOff>
        </xdr:from>
        <xdr:to>
          <xdr:col>2</xdr:col>
          <xdr:colOff>342900</xdr:colOff>
          <xdr:row>38</xdr:row>
          <xdr:rowOff>180975</xdr:rowOff>
        </xdr:to>
        <xdr:sp macro="" textlink="">
          <xdr:nvSpPr>
            <xdr:cNvPr id="2067" name="Scroll Bar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6</xdr:col>
      <xdr:colOff>114300</xdr:colOff>
      <xdr:row>4</xdr:row>
      <xdr:rowOff>66675</xdr:rowOff>
    </xdr:from>
    <xdr:ext cx="3200000" cy="257143"/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71900" y="828675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23" name="Imagem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oneCellAnchor>
  <xdr:twoCellAnchor>
    <xdr:from>
      <xdr:col>0</xdr:col>
      <xdr:colOff>428625</xdr:colOff>
      <xdr:row>24</xdr:row>
      <xdr:rowOff>47625</xdr:rowOff>
    </xdr:from>
    <xdr:to>
      <xdr:col>7</xdr:col>
      <xdr:colOff>0</xdr:colOff>
      <xdr:row>24</xdr:row>
      <xdr:rowOff>47625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>
          <a:off x="428625" y="7724775"/>
          <a:ext cx="38385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428625</xdr:colOff>
      <xdr:row>27</xdr:row>
      <xdr:rowOff>9525</xdr:rowOff>
    </xdr:from>
    <xdr:to>
      <xdr:col>7</xdr:col>
      <xdr:colOff>0</xdr:colOff>
      <xdr:row>27</xdr:row>
      <xdr:rowOff>9525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/>
      </xdr:nvCxnSpPr>
      <xdr:spPr>
        <a:xfrm>
          <a:off x="428625" y="8258175"/>
          <a:ext cx="38385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428625</xdr:colOff>
      <xdr:row>31</xdr:row>
      <xdr:rowOff>19050</xdr:rowOff>
    </xdr:from>
    <xdr:to>
      <xdr:col>7</xdr:col>
      <xdr:colOff>0</xdr:colOff>
      <xdr:row>31</xdr:row>
      <xdr:rowOff>19050</xdr:rowOff>
    </xdr:to>
    <xdr:cxnSp macro="">
      <xdr:nvCxnSpPr>
        <xdr:cNvPr id="33" name="Conector ret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CxnSpPr/>
      </xdr:nvCxnSpPr>
      <xdr:spPr>
        <a:xfrm>
          <a:off x="428625" y="9029700"/>
          <a:ext cx="38385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428625</xdr:colOff>
      <xdr:row>39</xdr:row>
      <xdr:rowOff>161925</xdr:rowOff>
    </xdr:from>
    <xdr:to>
      <xdr:col>7</xdr:col>
      <xdr:colOff>0</xdr:colOff>
      <xdr:row>39</xdr:row>
      <xdr:rowOff>161925</xdr:rowOff>
    </xdr:to>
    <xdr:cxnSp macro="">
      <xdr:nvCxnSpPr>
        <xdr:cNvPr id="34" name="Conector ret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/>
      </xdr:nvCxnSpPr>
      <xdr:spPr>
        <a:xfrm>
          <a:off x="428625" y="10696575"/>
          <a:ext cx="38385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428625</xdr:colOff>
      <xdr:row>44</xdr:row>
      <xdr:rowOff>85725</xdr:rowOff>
    </xdr:from>
    <xdr:to>
      <xdr:col>7</xdr:col>
      <xdr:colOff>0</xdr:colOff>
      <xdr:row>44</xdr:row>
      <xdr:rowOff>85725</xdr:rowOff>
    </xdr:to>
    <xdr:cxnSp macro="">
      <xdr:nvCxnSpPr>
        <xdr:cNvPr id="35" name="Conector reto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>
          <a:off x="428625" y="11572875"/>
          <a:ext cx="38385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10</xdr:row>
          <xdr:rowOff>171450</xdr:rowOff>
        </xdr:from>
        <xdr:to>
          <xdr:col>5</xdr:col>
          <xdr:colOff>419100</xdr:colOff>
          <xdr:row>11</xdr:row>
          <xdr:rowOff>180975</xdr:rowOff>
        </xdr:to>
        <xdr:sp macro="" textlink="">
          <xdr:nvSpPr>
            <xdr:cNvPr id="2069" name="Drop Down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521802</xdr:colOff>
      <xdr:row>13</xdr:row>
      <xdr:rowOff>173935</xdr:rowOff>
    </xdr:from>
    <xdr:to>
      <xdr:col>4</xdr:col>
      <xdr:colOff>331302</xdr:colOff>
      <xdr:row>15</xdr:row>
      <xdr:rowOff>57978</xdr:rowOff>
    </xdr:to>
    <xdr:sp macro="" textlink="P15">
      <xdr:nvSpPr>
        <xdr:cNvPr id="2" name="Retângulo 1"/>
        <xdr:cNvSpPr/>
      </xdr:nvSpPr>
      <xdr:spPr>
        <a:xfrm>
          <a:off x="2360541" y="2675283"/>
          <a:ext cx="422413" cy="265043"/>
        </a:xfrm>
        <a:prstGeom prst="rect">
          <a:avLst/>
        </a:prstGeom>
        <a:solidFill>
          <a:schemeClr val="bg1">
            <a:lumMod val="9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FD536A7-62EC-4358-ABBD-F262C60EED68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</a:t>
          </a:fld>
          <a:endParaRPr lang="pt-BR" sz="1100"/>
        </a:p>
      </xdr:txBody>
    </xdr:sp>
    <xdr:clientData/>
  </xdr:twoCellAnchor>
  <xdr:oneCellAnchor>
    <xdr:from>
      <xdr:col>6</xdr:col>
      <xdr:colOff>114300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71900" y="828675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273326</xdr:colOff>
          <xdr:row>14</xdr:row>
          <xdr:rowOff>103123</xdr:rowOff>
        </xdr:from>
        <xdr:to>
          <xdr:col>3</xdr:col>
          <xdr:colOff>240194</xdr:colOff>
          <xdr:row>15</xdr:row>
          <xdr:rowOff>66265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286161</xdr:colOff>
          <xdr:row>13</xdr:row>
          <xdr:rowOff>175176</xdr:rowOff>
        </xdr:from>
        <xdr:to>
          <xdr:col>3</xdr:col>
          <xdr:colOff>530084</xdr:colOff>
          <xdr:row>15</xdr:row>
          <xdr:rowOff>57977</xdr:rowOff>
        </xdr:to>
        <xdr:sp macro="" textlink="">
          <xdr:nvSpPr>
            <xdr:cNvPr id="3077" name="Spinner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259248</xdr:colOff>
          <xdr:row>13</xdr:row>
          <xdr:rowOff>144949</xdr:rowOff>
        </xdr:from>
        <xdr:to>
          <xdr:col>4</xdr:col>
          <xdr:colOff>389283</xdr:colOff>
          <xdr:row>15</xdr:row>
          <xdr:rowOff>99391</xdr:rowOff>
        </xdr:to>
        <xdr:sp macro="" textlink="">
          <xdr:nvSpPr>
            <xdr:cNvPr id="3078" name="Group Box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22860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Higiene pessoal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9</xdr:row>
          <xdr:rowOff>28575</xdr:rowOff>
        </xdr:from>
        <xdr:to>
          <xdr:col>3</xdr:col>
          <xdr:colOff>161925</xdr:colOff>
          <xdr:row>15</xdr:row>
          <xdr:rowOff>161925</xdr:rowOff>
        </xdr:to>
        <xdr:sp macro="" textlink="">
          <xdr:nvSpPr>
            <xdr:cNvPr id="5121" name="List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9</xdr:row>
          <xdr:rowOff>19050</xdr:rowOff>
        </xdr:from>
        <xdr:to>
          <xdr:col>6</xdr:col>
          <xdr:colOff>104775</xdr:colOff>
          <xdr:row>15</xdr:row>
          <xdr:rowOff>152400</xdr:rowOff>
        </xdr:to>
        <xdr:sp macro="" textlink="">
          <xdr:nvSpPr>
            <xdr:cNvPr id="5122" name="List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9</xdr:row>
          <xdr:rowOff>95250</xdr:rowOff>
        </xdr:from>
        <xdr:to>
          <xdr:col>7</xdr:col>
          <xdr:colOff>561975</xdr:colOff>
          <xdr:row>10</xdr:row>
          <xdr:rowOff>180975</xdr:rowOff>
        </xdr:to>
        <xdr:sp macro="" textlink="">
          <xdr:nvSpPr>
            <xdr:cNvPr id="5123" name="Option 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Crédito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11</xdr:row>
          <xdr:rowOff>95250</xdr:rowOff>
        </xdr:from>
        <xdr:to>
          <xdr:col>7</xdr:col>
          <xdr:colOff>561975</xdr:colOff>
          <xdr:row>12</xdr:row>
          <xdr:rowOff>152400</xdr:rowOff>
        </xdr:to>
        <xdr:sp macro="" textlink="">
          <xdr:nvSpPr>
            <xdr:cNvPr id="5124" name="Option 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Débito</a:t>
              </a:r>
            </a:p>
          </xdr:txBody>
        </xdr:sp>
        <xdr:clientData/>
      </xdr:twoCellAnchor>
    </mc:Choice>
    <mc:Fallback/>
  </mc:AlternateContent>
  <xdr:oneCellAnchor>
    <xdr:from>
      <xdr:col>6</xdr:col>
      <xdr:colOff>114300</xdr:colOff>
      <xdr:row>4</xdr:row>
      <xdr:rowOff>66675</xdr:rowOff>
    </xdr:from>
    <xdr:ext cx="3200000" cy="257143"/>
    <xdr:pic>
      <xdr:nvPicPr>
        <xdr:cNvPr id="7" name="Imagem 6">
          <a:extLst>
            <a:ext uri="{FF2B5EF4-FFF2-40B4-BE49-F238E27FC236}">
              <a16:creationId xmlns:a16="http://schemas.microsoft.com/office/drawing/2014/main" id="{DAA6CB50-178E-4699-AF24-B955B89AA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719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8" name="Imagem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3C30DD0-4172-4747-BD9C-8A7F12904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10</xdr:row>
          <xdr:rowOff>142875</xdr:rowOff>
        </xdr:from>
        <xdr:to>
          <xdr:col>4</xdr:col>
          <xdr:colOff>447675</xdr:colOff>
          <xdr:row>12</xdr:row>
          <xdr:rowOff>47625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4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10</xdr:row>
          <xdr:rowOff>180975</xdr:rowOff>
        </xdr:from>
        <xdr:to>
          <xdr:col>11</xdr:col>
          <xdr:colOff>371475</xdr:colOff>
          <xdr:row>12</xdr:row>
          <xdr:rowOff>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4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12</xdr:row>
          <xdr:rowOff>142875</xdr:rowOff>
        </xdr:from>
        <xdr:to>
          <xdr:col>4</xdr:col>
          <xdr:colOff>447675</xdr:colOff>
          <xdr:row>14</xdr:row>
          <xdr:rowOff>47625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4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12</xdr:row>
          <xdr:rowOff>180975</xdr:rowOff>
        </xdr:from>
        <xdr:to>
          <xdr:col>11</xdr:col>
          <xdr:colOff>371475</xdr:colOff>
          <xdr:row>14</xdr:row>
          <xdr:rowOff>0</xdr:rowOff>
        </xdr:to>
        <xdr:sp macro="" textlink="">
          <xdr:nvSpPr>
            <xdr:cNvPr id="7172" name="Spinne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4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14</xdr:row>
          <xdr:rowOff>142875</xdr:rowOff>
        </xdr:from>
        <xdr:to>
          <xdr:col>4</xdr:col>
          <xdr:colOff>447675</xdr:colOff>
          <xdr:row>16</xdr:row>
          <xdr:rowOff>47625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4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14</xdr:row>
          <xdr:rowOff>180975</xdr:rowOff>
        </xdr:from>
        <xdr:to>
          <xdr:col>11</xdr:col>
          <xdr:colOff>371475</xdr:colOff>
          <xdr:row>16</xdr:row>
          <xdr:rowOff>0</xdr:rowOff>
        </xdr:to>
        <xdr:sp macro="" textlink="">
          <xdr:nvSpPr>
            <xdr:cNvPr id="7174" name="Spinner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4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16</xdr:row>
          <xdr:rowOff>142875</xdr:rowOff>
        </xdr:from>
        <xdr:to>
          <xdr:col>4</xdr:col>
          <xdr:colOff>447675</xdr:colOff>
          <xdr:row>18</xdr:row>
          <xdr:rowOff>47625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4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16</xdr:row>
          <xdr:rowOff>180975</xdr:rowOff>
        </xdr:from>
        <xdr:to>
          <xdr:col>11</xdr:col>
          <xdr:colOff>371475</xdr:colOff>
          <xdr:row>18</xdr:row>
          <xdr:rowOff>0</xdr:rowOff>
        </xdr:to>
        <xdr:sp macro="" textlink="">
          <xdr:nvSpPr>
            <xdr:cNvPr id="7176" name="Spinner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4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581025</xdr:colOff>
          <xdr:row>18</xdr:row>
          <xdr:rowOff>180975</xdr:rowOff>
        </xdr:from>
        <xdr:to>
          <xdr:col>8</xdr:col>
          <xdr:colOff>104775</xdr:colOff>
          <xdr:row>22</xdr:row>
          <xdr:rowOff>9525</xdr:rowOff>
        </xdr:to>
        <xdr:sp macro="" textlink="">
          <xdr:nvSpPr>
            <xdr:cNvPr id="7177" name="Group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4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FORMA DE PAGAMENTO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20</xdr:row>
          <xdr:rowOff>66675</xdr:rowOff>
        </xdr:from>
        <xdr:to>
          <xdr:col>6</xdr:col>
          <xdr:colOff>19050</xdr:colOff>
          <xdr:row>21</xdr:row>
          <xdr:rowOff>95250</xdr:rowOff>
        </xdr:to>
        <xdr:sp macro="" textlink="">
          <xdr:nvSpPr>
            <xdr:cNvPr id="7178" name="Option Button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4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DÉBITO (-5%)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20</xdr:row>
          <xdr:rowOff>66675</xdr:rowOff>
        </xdr:from>
        <xdr:to>
          <xdr:col>7</xdr:col>
          <xdr:colOff>590550</xdr:colOff>
          <xdr:row>21</xdr:row>
          <xdr:rowOff>95250</xdr:rowOff>
        </xdr:to>
        <xdr:sp macro="" textlink="">
          <xdr:nvSpPr>
            <xdr:cNvPr id="7179" name="Option Button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4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CRÉDITO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171450</xdr:colOff>
          <xdr:row>18</xdr:row>
          <xdr:rowOff>171450</xdr:rowOff>
        </xdr:from>
        <xdr:to>
          <xdr:col>11</xdr:col>
          <xdr:colOff>552450</xdr:colOff>
          <xdr:row>22</xdr:row>
          <xdr:rowOff>0</xdr:rowOff>
        </xdr:to>
        <xdr:sp macro="" textlink="">
          <xdr:nvSpPr>
            <xdr:cNvPr id="7180" name="Group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4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ENTREGA INCLUSA?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504825</xdr:colOff>
          <xdr:row>20</xdr:row>
          <xdr:rowOff>38100</xdr:rowOff>
        </xdr:from>
        <xdr:to>
          <xdr:col>11</xdr:col>
          <xdr:colOff>219075</xdr:colOff>
          <xdr:row>21</xdr:row>
          <xdr:rowOff>85725</xdr:rowOff>
        </xdr:to>
        <xdr:sp macro="" textlink="">
          <xdr:nvSpPr>
            <xdr:cNvPr id="7181" name="Drop Down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4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6</xdr:col>
      <xdr:colOff>114300</xdr:colOff>
      <xdr:row>4</xdr:row>
      <xdr:rowOff>66675</xdr:rowOff>
    </xdr:from>
    <xdr:ext cx="3200000" cy="257143"/>
    <xdr:pic>
      <xdr:nvPicPr>
        <xdr:cNvPr id="16" name="Imagem 15">
          <a:extLst>
            <a:ext uri="{FF2B5EF4-FFF2-40B4-BE49-F238E27FC236}">
              <a16:creationId xmlns:a16="http://schemas.microsoft.com/office/drawing/2014/main" id="{0E87EE1A-395B-4923-9F3E-2F883E66E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7190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17" name="Imagem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D11006-D036-4BF7-B9F9-CCA21EE6D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ela1" displayName="Tabela1" ref="B11:C16" totalsRowShown="0" headerRowDxfId="8" dataDxfId="6" headerRowBorderDxfId="7" tableBorderDxfId="5" totalsRowBorderDxfId="4">
  <autoFilter ref="B11:C16"/>
  <tableColumns count="2">
    <tableColumn id="1" name="NOME" dataDxfId="3"/>
    <tableColumn id="2" name="NO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6.xml"/><Relationship Id="rId5" Type="http://schemas.openxmlformats.org/officeDocument/2006/relationships/ctrlProp" Target="../ctrlProps/ctrlProp15.xml"/><Relationship Id="rId4" Type="http://schemas.openxmlformats.org/officeDocument/2006/relationships/ctrlProp" Target="../ctrlProps/ctrlProp1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2.xml"/><Relationship Id="rId13" Type="http://schemas.openxmlformats.org/officeDocument/2006/relationships/ctrlProp" Target="../ctrlProps/ctrlProp27.xml"/><Relationship Id="rId3" Type="http://schemas.openxmlformats.org/officeDocument/2006/relationships/ctrlProp" Target="../ctrlProps/ctrlProp17.xml"/><Relationship Id="rId7" Type="http://schemas.openxmlformats.org/officeDocument/2006/relationships/ctrlProp" Target="../ctrlProps/ctrlProp21.xml"/><Relationship Id="rId12" Type="http://schemas.openxmlformats.org/officeDocument/2006/relationships/ctrlProp" Target="../ctrlProps/ctrlProp26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6" Type="http://schemas.openxmlformats.org/officeDocument/2006/relationships/ctrlProp" Target="../ctrlProps/ctrlProp20.xml"/><Relationship Id="rId11" Type="http://schemas.openxmlformats.org/officeDocument/2006/relationships/ctrlProp" Target="../ctrlProps/ctrlProp25.xml"/><Relationship Id="rId5" Type="http://schemas.openxmlformats.org/officeDocument/2006/relationships/ctrlProp" Target="../ctrlProps/ctrlProp19.xml"/><Relationship Id="rId15" Type="http://schemas.openxmlformats.org/officeDocument/2006/relationships/ctrlProp" Target="../ctrlProps/ctrlProp29.xml"/><Relationship Id="rId10" Type="http://schemas.openxmlformats.org/officeDocument/2006/relationships/ctrlProp" Target="../ctrlProps/ctrlProp24.xml"/><Relationship Id="rId4" Type="http://schemas.openxmlformats.org/officeDocument/2006/relationships/ctrlProp" Target="../ctrlProps/ctrlProp18.xml"/><Relationship Id="rId9" Type="http://schemas.openxmlformats.org/officeDocument/2006/relationships/ctrlProp" Target="../ctrlProps/ctrlProp23.xml"/><Relationship Id="rId14" Type="http://schemas.openxmlformats.org/officeDocument/2006/relationships/ctrlProp" Target="../ctrlProps/ctrlProp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"/>
  <sheetViews>
    <sheetView showGridLines="0" workbookViewId="0">
      <selection activeCell="B14" sqref="B14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5" t="s">
        <v>144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</row>
    <row r="3" spans="2:17" ht="15" customHeight="1" x14ac:dyDescent="0.25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2:17" ht="15" customHeigh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60"/>
    </row>
    <row r="5" spans="2:17" ht="15" customHeight="1" x14ac:dyDescent="0.25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</row>
    <row r="6" spans="2:17" ht="1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3"/>
    </row>
    <row r="7" spans="2:17" ht="15.75" thickBot="1" x14ac:dyDescent="0.3"/>
    <row r="8" spans="2:17" ht="18" customHeight="1" x14ac:dyDescent="0.25">
      <c r="B8" s="33" t="s">
        <v>136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5"/>
    </row>
    <row r="9" spans="2:17" ht="31.5" customHeight="1" x14ac:dyDescent="0.25">
      <c r="B9" s="64" t="s">
        <v>143</v>
      </c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6"/>
    </row>
    <row r="10" spans="2:17" ht="6.75" customHeight="1" thickBot="1" x14ac:dyDescent="0.3"/>
    <row r="11" spans="2:17" ht="15.75" x14ac:dyDescent="0.25">
      <c r="B11" s="33" t="s">
        <v>137</v>
      </c>
      <c r="C11" s="36"/>
      <c r="D11" s="36"/>
      <c r="E11" s="37"/>
    </row>
    <row r="12" spans="2:17" x14ac:dyDescent="0.25">
      <c r="B12" s="38" t="s">
        <v>145</v>
      </c>
      <c r="C12" s="39"/>
      <c r="D12" s="40"/>
      <c r="E12" s="41"/>
    </row>
    <row r="13" spans="2:17" x14ac:dyDescent="0.25">
      <c r="B13" s="38" t="s">
        <v>146</v>
      </c>
      <c r="C13" s="39"/>
      <c r="D13" s="40"/>
      <c r="E13" s="41"/>
    </row>
    <row r="14" spans="2:17" ht="4.5" customHeight="1" x14ac:dyDescent="0.25">
      <c r="B14" s="42"/>
      <c r="C14" s="43"/>
      <c r="D14" s="43"/>
      <c r="E14" s="44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6"/>
  <sheetViews>
    <sheetView showGridLines="0" topLeftCell="A22" workbookViewId="0">
      <selection activeCell="J16" sqref="J16"/>
    </sheetView>
  </sheetViews>
  <sheetFormatPr defaultRowHeight="15" x14ac:dyDescent="0.25"/>
  <sheetData>
    <row r="1" spans="1:18" ht="15.75" thickBot="1" x14ac:dyDescent="0.3"/>
    <row r="2" spans="1:18" ht="15" customHeight="1" x14ac:dyDescent="0.25">
      <c r="B2" s="55" t="str">
        <f>CONTEÚDO!B2</f>
        <v>Formulários (front) II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</row>
    <row r="3" spans="1:18" ht="15" customHeight="1" x14ac:dyDescent="0.25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1:18" ht="15" customHeigh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60"/>
    </row>
    <row r="5" spans="1:18" ht="15" customHeight="1" x14ac:dyDescent="0.25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</row>
    <row r="6" spans="1:18" ht="1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3"/>
    </row>
    <row r="8" spans="1:18" x14ac:dyDescent="0.25">
      <c r="B8" s="13"/>
    </row>
    <row r="9" spans="1:18" ht="15.75" x14ac:dyDescent="0.25">
      <c r="B9" s="27" t="s">
        <v>0</v>
      </c>
    </row>
    <row r="10" spans="1:18" ht="15.75" thickBot="1" x14ac:dyDescent="0.3"/>
    <row r="11" spans="1:18" x14ac:dyDescent="0.25">
      <c r="B11" s="1" t="s">
        <v>1</v>
      </c>
      <c r="C11" s="2" t="s">
        <v>2</v>
      </c>
      <c r="E11" s="28" t="s">
        <v>8</v>
      </c>
      <c r="I11" s="28" t="s">
        <v>9</v>
      </c>
      <c r="K11" s="78" t="str">
        <f>IF(F14&gt;=5,"Aprovado","Reprovado")</f>
        <v>Aprovado</v>
      </c>
      <c r="L11" s="79"/>
      <c r="M11" s="80"/>
      <c r="O11" s="29" t="s">
        <v>10</v>
      </c>
      <c r="P11" s="7"/>
      <c r="Q11" s="7"/>
      <c r="R11" s="8"/>
    </row>
    <row r="12" spans="1:18" x14ac:dyDescent="0.25">
      <c r="A12">
        <v>1</v>
      </c>
      <c r="B12" s="3" t="s">
        <v>3</v>
      </c>
      <c r="C12" s="4">
        <v>3</v>
      </c>
      <c r="K12" s="81"/>
      <c r="L12" s="82"/>
      <c r="M12" s="83"/>
      <c r="O12" s="30" t="s">
        <v>11</v>
      </c>
      <c r="P12" s="31"/>
      <c r="Q12" s="31"/>
      <c r="R12" s="32"/>
    </row>
    <row r="13" spans="1:18" x14ac:dyDescent="0.25">
      <c r="A13">
        <v>2</v>
      </c>
      <c r="B13" s="3" t="s">
        <v>4</v>
      </c>
      <c r="C13" s="4">
        <v>4.5</v>
      </c>
      <c r="K13" s="84"/>
      <c r="L13" s="85"/>
      <c r="M13" s="86"/>
    </row>
    <row r="14" spans="1:18" x14ac:dyDescent="0.25">
      <c r="A14">
        <v>3</v>
      </c>
      <c r="B14" s="3" t="s">
        <v>5</v>
      </c>
      <c r="C14" s="4">
        <v>7.8</v>
      </c>
      <c r="E14" s="87">
        <v>3</v>
      </c>
      <c r="F14" s="87">
        <f>VLOOKUP(E14,$A$11:$C$16,3,0)</f>
        <v>7.8</v>
      </c>
    </row>
    <row r="15" spans="1:18" x14ac:dyDescent="0.25">
      <c r="A15">
        <v>4</v>
      </c>
      <c r="B15" s="3" t="s">
        <v>6</v>
      </c>
      <c r="C15" s="4">
        <v>9</v>
      </c>
      <c r="E15" s="87"/>
      <c r="F15" s="87"/>
    </row>
    <row r="16" spans="1:18" x14ac:dyDescent="0.25">
      <c r="A16">
        <v>5</v>
      </c>
      <c r="B16" s="5" t="s">
        <v>7</v>
      </c>
      <c r="C16" s="6">
        <v>1</v>
      </c>
    </row>
    <row r="19" spans="2:5" x14ac:dyDescent="0.25">
      <c r="B19" s="13" t="s">
        <v>118</v>
      </c>
    </row>
    <row r="21" spans="2:5" ht="15.75" x14ac:dyDescent="0.25">
      <c r="B21" s="27" t="s">
        <v>135</v>
      </c>
    </row>
    <row r="23" spans="2:5" x14ac:dyDescent="0.25">
      <c r="D23" s="28" t="s">
        <v>120</v>
      </c>
    </row>
    <row r="26" spans="2:5" x14ac:dyDescent="0.25">
      <c r="D26" s="28" t="s">
        <v>121</v>
      </c>
    </row>
    <row r="29" spans="2:5" x14ac:dyDescent="0.25">
      <c r="D29" s="28" t="s">
        <v>124</v>
      </c>
      <c r="E29" s="28"/>
    </row>
    <row r="34" spans="3:4" x14ac:dyDescent="0.25">
      <c r="C34" s="28" t="s">
        <v>122</v>
      </c>
    </row>
    <row r="42" spans="3:4" x14ac:dyDescent="0.25">
      <c r="C42" s="28" t="s">
        <v>122</v>
      </c>
    </row>
    <row r="46" spans="3:4" x14ac:dyDescent="0.25">
      <c r="D46" s="28" t="s">
        <v>123</v>
      </c>
    </row>
  </sheetData>
  <mergeCells count="2">
    <mergeCell ref="B2:Q6"/>
    <mergeCell ref="K11:M13"/>
  </mergeCells>
  <conditionalFormatting sqref="K11:M13">
    <cfRule type="cellIs" dxfId="1" priority="1" operator="equal">
      <formula>"Reprovado"</formula>
    </cfRule>
    <cfRule type="cellIs" dxfId="0" priority="2" operator="equal">
      <formula>"Aprovado"</formula>
    </cfRule>
  </conditionalFormatting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0" r:id="rId3" name="Drop Down 12">
              <controlPr defaultSize="0" autoLine="0" autoPict="0">
                <anchor moveWithCells="1">
                  <from>
                    <xdr:col>1</xdr:col>
                    <xdr:colOff>28575</xdr:colOff>
                    <xdr:row>22</xdr:row>
                    <xdr:rowOff>38100</xdr:rowOff>
                  </from>
                  <to>
                    <xdr:col>2</xdr:col>
                    <xdr:colOff>581025</xdr:colOff>
                    <xdr:row>23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4" name="Check Box 13">
              <controlPr defaultSize="0" autoFill="0" autoLine="0" autoPict="0">
                <anchor moveWithCells="1">
                  <from>
                    <xdr:col>1</xdr:col>
                    <xdr:colOff>47625</xdr:colOff>
                    <xdr:row>24</xdr:row>
                    <xdr:rowOff>161925</xdr:rowOff>
                  </from>
                  <to>
                    <xdr:col>3</xdr:col>
                    <xdr:colOff>180975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Spinner 14">
              <controlPr defaultSize="0" autoPict="0">
                <anchor moveWithCells="1" sizeWithCells="1">
                  <from>
                    <xdr:col>1</xdr:col>
                    <xdr:colOff>66675</xdr:colOff>
                    <xdr:row>40</xdr:row>
                    <xdr:rowOff>161925</xdr:rowOff>
                  </from>
                  <to>
                    <xdr:col>1</xdr:col>
                    <xdr:colOff>352425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6" name="List Box 15">
              <controlPr defaultSize="0" autoLine="0" autoPict="0">
                <anchor moveWithCells="1">
                  <from>
                    <xdr:col>1</xdr:col>
                    <xdr:colOff>47625</xdr:colOff>
                    <xdr:row>45</xdr:row>
                    <xdr:rowOff>28575</xdr:rowOff>
                  </from>
                  <to>
                    <xdr:col>2</xdr:col>
                    <xdr:colOff>419100</xdr:colOff>
                    <xdr:row>49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7" name="Option Button 16">
              <controlPr defaultSize="0" autoFill="0" autoLine="0" autoPict="0">
                <anchor moveWithCells="1">
                  <from>
                    <xdr:col>1</xdr:col>
                    <xdr:colOff>38100</xdr:colOff>
                    <xdr:row>28</xdr:row>
                    <xdr:rowOff>0</xdr:rowOff>
                  </from>
                  <to>
                    <xdr:col>3</xdr:col>
                    <xdr:colOff>0</xdr:colOff>
                    <xdr:row>29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8" name="Option Button 17">
              <controlPr defaultSize="0" autoFill="0" autoLine="0" autoPict="0">
                <anchor moveWithCells="1">
                  <from>
                    <xdr:col>1</xdr:col>
                    <xdr:colOff>47625</xdr:colOff>
                    <xdr:row>29</xdr:row>
                    <xdr:rowOff>66675</xdr:rowOff>
                  </from>
                  <to>
                    <xdr:col>3</xdr:col>
                    <xdr:colOff>600075</xdr:colOff>
                    <xdr:row>30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9" name="Scroll Bar 18">
              <controlPr defaultSize="0" autoPict="0">
                <anchor moveWithCells="1">
                  <from>
                    <xdr:col>1</xdr:col>
                    <xdr:colOff>28575</xdr:colOff>
                    <xdr:row>32</xdr:row>
                    <xdr:rowOff>76200</xdr:rowOff>
                  </from>
                  <to>
                    <xdr:col>1</xdr:col>
                    <xdr:colOff>304800</xdr:colOff>
                    <xdr:row>36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10" name="Scroll Bar 19">
              <controlPr defaultSize="0" autoPict="0">
                <anchor moveWithCells="1">
                  <from>
                    <xdr:col>1</xdr:col>
                    <xdr:colOff>38100</xdr:colOff>
                    <xdr:row>37</xdr:row>
                    <xdr:rowOff>66675</xdr:rowOff>
                  </from>
                  <to>
                    <xdr:col>2</xdr:col>
                    <xdr:colOff>342900</xdr:colOff>
                    <xdr:row>38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11" name="Drop Down 21">
              <controlPr defaultSize="0" autoLine="0" autoPict="0">
                <anchor moveWithCells="1">
                  <from>
                    <xdr:col>4</xdr:col>
                    <xdr:colOff>0</xdr:colOff>
                    <xdr:row>10</xdr:row>
                    <xdr:rowOff>171450</xdr:rowOff>
                  </from>
                  <to>
                    <xdr:col>5</xdr:col>
                    <xdr:colOff>419100</xdr:colOff>
                    <xdr:row>11</xdr:row>
                    <xdr:rowOff>180975</xdr:rowOff>
                  </to>
                </anchor>
              </controlPr>
            </control>
          </mc:Choice>
        </mc:AlternateContent>
      </controls>
    </mc:Choice>
  </mc:AlternateContent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4"/>
  <sheetViews>
    <sheetView showGridLines="0" tabSelected="1" topLeftCell="A7" zoomScale="115" zoomScaleNormal="115" workbookViewId="0">
      <selection activeCell="H21" sqref="H2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5" t="str">
        <f>CONTEÚDO!B2</f>
        <v>Formulários (front) II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</row>
    <row r="3" spans="2:17" ht="15" customHeight="1" x14ac:dyDescent="0.25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2:17" ht="15" customHeigh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60"/>
    </row>
    <row r="5" spans="2:17" ht="15" customHeight="1" x14ac:dyDescent="0.25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</row>
    <row r="6" spans="2:17" ht="1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3"/>
    </row>
    <row r="7" spans="2:17" ht="15.75" thickBot="1" x14ac:dyDescent="0.3"/>
    <row r="8" spans="2:17" ht="15.75" x14ac:dyDescent="0.25">
      <c r="B8" s="45" t="s">
        <v>138</v>
      </c>
      <c r="C8" s="46"/>
      <c r="D8" s="46"/>
      <c r="E8" s="46"/>
      <c r="F8" s="46"/>
      <c r="G8" s="46"/>
      <c r="H8" s="46"/>
      <c r="I8" s="46"/>
      <c r="J8" s="46"/>
      <c r="K8" s="46"/>
      <c r="L8" s="47"/>
    </row>
    <row r="9" spans="2:17" x14ac:dyDescent="0.25">
      <c r="B9" s="48" t="s">
        <v>139</v>
      </c>
      <c r="C9" s="49"/>
      <c r="D9" s="50"/>
      <c r="E9" s="50"/>
      <c r="F9" s="49"/>
      <c r="G9" s="49"/>
      <c r="H9" s="49"/>
      <c r="I9" s="49"/>
      <c r="J9" s="49"/>
      <c r="K9" s="49"/>
      <c r="L9" s="51"/>
    </row>
    <row r="10" spans="2:17" x14ac:dyDescent="0.25">
      <c r="B10" s="48" t="s">
        <v>140</v>
      </c>
      <c r="C10" s="49"/>
      <c r="D10" s="50"/>
      <c r="E10" s="50"/>
      <c r="F10" s="49"/>
      <c r="G10" s="49"/>
      <c r="H10" s="49"/>
      <c r="I10" s="49"/>
      <c r="J10" s="49"/>
      <c r="K10" s="49"/>
      <c r="L10" s="51"/>
    </row>
    <row r="11" spans="2:17" x14ac:dyDescent="0.25">
      <c r="B11" s="48" t="s">
        <v>141</v>
      </c>
      <c r="C11" s="49"/>
      <c r="D11" s="49"/>
      <c r="E11" s="49"/>
      <c r="F11" s="49"/>
      <c r="G11" s="49"/>
      <c r="H11" s="49"/>
      <c r="I11" s="49"/>
      <c r="J11" s="49"/>
      <c r="K11" s="49"/>
      <c r="L11" s="51"/>
    </row>
    <row r="12" spans="2:17" x14ac:dyDescent="0.25">
      <c r="B12" s="52" t="s">
        <v>142</v>
      </c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4" spans="2:17" x14ac:dyDescent="0.25">
      <c r="B14" s="15"/>
      <c r="C14" s="22"/>
      <c r="D14" s="22"/>
      <c r="E14" s="22"/>
      <c r="F14" s="22"/>
      <c r="G14" s="22"/>
      <c r="H14" s="22"/>
      <c r="I14" s="22"/>
      <c r="J14" s="22"/>
      <c r="K14" s="16"/>
    </row>
    <row r="15" spans="2:17" x14ac:dyDescent="0.25">
      <c r="B15" s="17"/>
      <c r="C15" s="24"/>
      <c r="F15" s="24"/>
      <c r="G15" s="24"/>
      <c r="H15" s="24" t="s">
        <v>147</v>
      </c>
      <c r="I15" s="24">
        <f>P15*O15</f>
        <v>110.88</v>
      </c>
      <c r="J15" s="24"/>
      <c r="K15" s="18"/>
      <c r="N15" s="90">
        <v>11</v>
      </c>
      <c r="O15" s="90">
        <f>VLOOKUP(N15,LISTAS!$A:$C,3,0)</f>
        <v>18.48</v>
      </c>
      <c r="P15" s="91">
        <v>6</v>
      </c>
    </row>
    <row r="16" spans="2:17" x14ac:dyDescent="0.25">
      <c r="B16" s="17"/>
      <c r="C16" s="24"/>
      <c r="D16" s="24"/>
      <c r="E16" s="24"/>
      <c r="F16" s="88"/>
      <c r="G16" s="24"/>
      <c r="H16" s="24"/>
      <c r="I16" s="24"/>
      <c r="J16" s="24"/>
      <c r="K16" s="18"/>
    </row>
    <row r="17" spans="2:11" x14ac:dyDescent="0.25">
      <c r="B17" s="89"/>
      <c r="F17" s="24"/>
      <c r="G17" s="24"/>
      <c r="H17" s="24"/>
      <c r="I17" s="24"/>
      <c r="J17" s="24"/>
      <c r="K17" s="18"/>
    </row>
    <row r="18" spans="2:11" x14ac:dyDescent="0.25">
      <c r="B18" s="17"/>
      <c r="C18" s="24"/>
      <c r="D18" s="24"/>
      <c r="E18" s="24"/>
      <c r="F18" s="24"/>
      <c r="G18" s="24"/>
      <c r="H18" s="24"/>
      <c r="I18" s="24"/>
      <c r="J18" s="24"/>
      <c r="K18" s="18"/>
    </row>
    <row r="19" spans="2:11" x14ac:dyDescent="0.25">
      <c r="B19" s="17"/>
      <c r="C19" s="24"/>
      <c r="D19" s="24"/>
      <c r="E19" s="24"/>
      <c r="F19" s="24"/>
      <c r="G19" s="24"/>
      <c r="H19" s="24"/>
      <c r="I19" s="24"/>
      <c r="J19" s="24"/>
      <c r="K19" s="18"/>
    </row>
    <row r="20" spans="2:11" x14ac:dyDescent="0.25">
      <c r="B20" s="17"/>
      <c r="C20" s="24"/>
      <c r="D20" s="24"/>
      <c r="E20" s="24"/>
      <c r="F20" s="24"/>
      <c r="G20" s="24"/>
      <c r="H20" s="24"/>
      <c r="I20" s="24"/>
      <c r="J20" s="24"/>
      <c r="K20" s="18"/>
    </row>
    <row r="21" spans="2:11" x14ac:dyDescent="0.25">
      <c r="B21" s="17"/>
      <c r="C21" s="24"/>
      <c r="D21" s="24"/>
      <c r="E21" s="24"/>
      <c r="F21" s="24"/>
      <c r="G21" s="24"/>
      <c r="H21" s="24"/>
      <c r="I21" s="24"/>
      <c r="J21" s="24"/>
      <c r="K21" s="18"/>
    </row>
    <row r="22" spans="2:11" x14ac:dyDescent="0.25">
      <c r="B22" s="17"/>
      <c r="C22" s="24"/>
      <c r="D22" s="24"/>
      <c r="E22" s="24"/>
      <c r="F22" s="24"/>
      <c r="G22" s="24"/>
      <c r="H22" s="24"/>
      <c r="I22" s="24"/>
      <c r="J22" s="24"/>
      <c r="K22" s="18"/>
    </row>
    <row r="23" spans="2:11" x14ac:dyDescent="0.25">
      <c r="B23" s="17"/>
      <c r="C23" s="24"/>
      <c r="D23" s="24"/>
      <c r="E23" s="24"/>
      <c r="F23" s="24"/>
      <c r="G23" s="24"/>
      <c r="H23" s="24"/>
      <c r="I23" s="24"/>
      <c r="J23" s="24"/>
      <c r="K23" s="18"/>
    </row>
    <row r="24" spans="2:11" x14ac:dyDescent="0.25">
      <c r="B24" s="17"/>
      <c r="C24" s="24"/>
      <c r="D24" s="24"/>
      <c r="E24" s="24"/>
      <c r="F24" s="24"/>
      <c r="G24" s="24"/>
      <c r="H24" s="24"/>
      <c r="I24" s="24"/>
      <c r="J24" s="24"/>
      <c r="K24" s="18"/>
    </row>
    <row r="25" spans="2:11" x14ac:dyDescent="0.25">
      <c r="B25" s="17"/>
      <c r="C25" s="24"/>
      <c r="D25" s="24"/>
      <c r="E25" s="24"/>
      <c r="F25" s="24"/>
      <c r="G25" s="24"/>
      <c r="H25" s="24"/>
      <c r="I25" s="24"/>
      <c r="J25" s="24"/>
      <c r="K25" s="18"/>
    </row>
    <row r="26" spans="2:11" x14ac:dyDescent="0.25">
      <c r="B26" s="17"/>
      <c r="C26" s="24"/>
      <c r="D26" s="24"/>
      <c r="E26" s="24"/>
      <c r="F26" s="24"/>
      <c r="G26" s="24"/>
      <c r="H26" s="24"/>
      <c r="I26" s="24"/>
      <c r="J26" s="24"/>
      <c r="K26" s="18"/>
    </row>
    <row r="27" spans="2:11" x14ac:dyDescent="0.25">
      <c r="B27" s="17"/>
      <c r="C27" s="24"/>
      <c r="D27" s="24"/>
      <c r="E27" s="24"/>
      <c r="F27" s="24"/>
      <c r="G27" s="24"/>
      <c r="H27" s="24"/>
      <c r="I27" s="24"/>
      <c r="J27" s="24"/>
      <c r="K27" s="18"/>
    </row>
    <row r="28" spans="2:11" x14ac:dyDescent="0.25">
      <c r="B28" s="17"/>
      <c r="C28" s="24"/>
      <c r="D28" s="24"/>
      <c r="E28" s="24"/>
      <c r="F28" s="24"/>
      <c r="G28" s="24"/>
      <c r="H28" s="24"/>
      <c r="I28" s="24"/>
      <c r="J28" s="24"/>
      <c r="K28" s="18"/>
    </row>
    <row r="29" spans="2:11" x14ac:dyDescent="0.25">
      <c r="B29" s="17"/>
      <c r="C29" s="24"/>
      <c r="D29" s="24"/>
      <c r="E29" s="24"/>
      <c r="F29" s="24"/>
      <c r="G29" s="24"/>
      <c r="H29" s="24"/>
      <c r="I29" s="24"/>
      <c r="J29" s="24"/>
      <c r="K29" s="18"/>
    </row>
    <row r="30" spans="2:11" x14ac:dyDescent="0.25">
      <c r="B30" s="17"/>
      <c r="C30" s="24"/>
      <c r="D30" s="24"/>
      <c r="E30" s="24"/>
      <c r="F30" s="24"/>
      <c r="G30" s="24"/>
      <c r="H30" s="24"/>
      <c r="I30" s="24"/>
      <c r="J30" s="24"/>
      <c r="K30" s="18"/>
    </row>
    <row r="31" spans="2:11" x14ac:dyDescent="0.25">
      <c r="B31" s="17"/>
      <c r="C31" s="24"/>
      <c r="D31" s="24"/>
      <c r="E31" s="24"/>
      <c r="F31" s="24"/>
      <c r="G31" s="24"/>
      <c r="H31" s="24"/>
      <c r="I31" s="24"/>
      <c r="J31" s="24"/>
      <c r="K31" s="18"/>
    </row>
    <row r="32" spans="2:11" x14ac:dyDescent="0.25">
      <c r="B32" s="17"/>
      <c r="C32" s="24"/>
      <c r="D32" s="24"/>
      <c r="E32" s="24"/>
      <c r="F32" s="24"/>
      <c r="G32" s="24"/>
      <c r="H32" s="24"/>
      <c r="I32" s="24"/>
      <c r="J32" s="24"/>
      <c r="K32" s="18"/>
    </row>
    <row r="33" spans="2:11" x14ac:dyDescent="0.25">
      <c r="B33" s="17"/>
      <c r="C33" s="24"/>
      <c r="D33" s="24"/>
      <c r="E33" s="24"/>
      <c r="F33" s="24"/>
      <c r="G33" s="24"/>
      <c r="H33" s="24"/>
      <c r="I33" s="24"/>
      <c r="J33" s="24"/>
      <c r="K33" s="18"/>
    </row>
    <row r="34" spans="2:11" x14ac:dyDescent="0.25">
      <c r="B34" s="19"/>
      <c r="C34" s="25"/>
      <c r="D34" s="25"/>
      <c r="E34" s="25"/>
      <c r="F34" s="25"/>
      <c r="G34" s="25"/>
      <c r="H34" s="25"/>
      <c r="I34" s="25"/>
      <c r="J34" s="25"/>
      <c r="K34" s="20"/>
    </row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3" name="Drop Down 4">
              <controlPr defaultSize="0" autoLine="0" autoPict="0">
                <anchor moveWithCells="1">
                  <from>
                    <xdr:col>1</xdr:col>
                    <xdr:colOff>276225</xdr:colOff>
                    <xdr:row>14</xdr:row>
                    <xdr:rowOff>104775</xdr:rowOff>
                  </from>
                  <to>
                    <xdr:col>3</xdr:col>
                    <xdr:colOff>238125</xdr:colOff>
                    <xdr:row>15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4" name="Spinner 5">
              <controlPr defaultSize="0" autoPict="0">
                <anchor moveWithCells="1" sizeWithCells="1">
                  <from>
                    <xdr:col>3</xdr:col>
                    <xdr:colOff>285750</xdr:colOff>
                    <xdr:row>13</xdr:row>
                    <xdr:rowOff>171450</xdr:rowOff>
                  </from>
                  <to>
                    <xdr:col>3</xdr:col>
                    <xdr:colOff>533400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Group Box 6">
              <controlPr defaultSize="0" autoFill="0" autoPict="0">
                <anchor moveWithCells="1">
                  <from>
                    <xdr:col>1</xdr:col>
                    <xdr:colOff>257175</xdr:colOff>
                    <xdr:row>13</xdr:row>
                    <xdr:rowOff>142875</xdr:rowOff>
                  </from>
                  <to>
                    <xdr:col>4</xdr:col>
                    <xdr:colOff>390525</xdr:colOff>
                    <xdr:row>15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7"/>
  <sheetViews>
    <sheetView showGridLines="0" workbookViewId="0">
      <selection activeCell="B2" sqref="B2:Q6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55" t="str">
        <f>CONTEÚDO!B2</f>
        <v>Formulários (front) II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</row>
    <row r="3" spans="2:17" ht="15" customHeight="1" x14ac:dyDescent="0.25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2:17" ht="15" customHeigh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60"/>
    </row>
    <row r="5" spans="2:17" ht="15" customHeight="1" x14ac:dyDescent="0.25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</row>
    <row r="6" spans="2:17" ht="1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3"/>
    </row>
    <row r="9" spans="2:17" ht="15.75" x14ac:dyDescent="0.25">
      <c r="B9" s="9" t="s">
        <v>12</v>
      </c>
      <c r="E9" s="9" t="s">
        <v>43</v>
      </c>
    </row>
    <row r="10" spans="2:17" x14ac:dyDescent="0.25">
      <c r="J10" t="s">
        <v>119</v>
      </c>
    </row>
    <row r="11" spans="2:17" x14ac:dyDescent="0.25">
      <c r="J11" s="67">
        <f>IF(H17=1,VLOOKUP(B17,LISTAS!A5:C34,3,0)+VLOOKUP('EXERCÍCIOS (resolvido1)'!E17,LISTAS!D5:F50,3,0),VLOOKUP(B17,LISTAS!A5:C34,3,0)+VLOOKUP('EXERCÍCIOS (resolvido1)'!E17,LISTAS!D5:F50,3,0)*0.95)</f>
        <v>23.945</v>
      </c>
      <c r="K11" s="68"/>
      <c r="L11" s="68"/>
      <c r="M11" s="69"/>
    </row>
    <row r="12" spans="2:17" x14ac:dyDescent="0.25">
      <c r="J12" s="70"/>
      <c r="K12" s="71"/>
      <c r="L12" s="71"/>
      <c r="M12" s="72"/>
    </row>
    <row r="13" spans="2:17" x14ac:dyDescent="0.25">
      <c r="J13" s="70"/>
      <c r="K13" s="71"/>
      <c r="L13" s="71"/>
      <c r="M13" s="72"/>
    </row>
    <row r="14" spans="2:17" x14ac:dyDescent="0.25">
      <c r="J14" s="70"/>
      <c r="K14" s="71"/>
      <c r="L14" s="71"/>
      <c r="M14" s="72"/>
    </row>
    <row r="15" spans="2:17" x14ac:dyDescent="0.25">
      <c r="J15" s="73"/>
      <c r="K15" s="74"/>
      <c r="L15" s="74"/>
      <c r="M15" s="75"/>
    </row>
    <row r="17" spans="2:8" x14ac:dyDescent="0.25">
      <c r="B17">
        <v>2</v>
      </c>
      <c r="E17">
        <v>11</v>
      </c>
      <c r="H17">
        <v>2</v>
      </c>
    </row>
  </sheetData>
  <mergeCells count="2">
    <mergeCell ref="B2:Q6"/>
    <mergeCell ref="J11:M15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List Box 1">
              <controlPr defaultSize="0" autoLine="0" autoPict="0">
                <anchor moveWithCells="1">
                  <from>
                    <xdr:col>1</xdr:col>
                    <xdr:colOff>28575</xdr:colOff>
                    <xdr:row>9</xdr:row>
                    <xdr:rowOff>28575</xdr:rowOff>
                  </from>
                  <to>
                    <xdr:col>3</xdr:col>
                    <xdr:colOff>161925</xdr:colOff>
                    <xdr:row>15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List Box 2">
              <controlPr defaultSize="0" autoLine="0" autoPict="0">
                <anchor moveWithCells="1">
                  <from>
                    <xdr:col>4</xdr:col>
                    <xdr:colOff>47625</xdr:colOff>
                    <xdr:row>9</xdr:row>
                    <xdr:rowOff>19050</xdr:rowOff>
                  </from>
                  <to>
                    <xdr:col>6</xdr:col>
                    <xdr:colOff>104775</xdr:colOff>
                    <xdr:row>15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Option Button 3">
              <controlPr defaultSize="0" autoFill="0" autoLine="0" autoPict="0">
                <anchor moveWithCells="1">
                  <from>
                    <xdr:col>6</xdr:col>
                    <xdr:colOff>495300</xdr:colOff>
                    <xdr:row>9</xdr:row>
                    <xdr:rowOff>95250</xdr:rowOff>
                  </from>
                  <to>
                    <xdr:col>7</xdr:col>
                    <xdr:colOff>561975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Option Button 4">
              <controlPr defaultSize="0" autoFill="0" autoLine="0" autoPict="0">
                <anchor moveWithCells="1">
                  <from>
                    <xdr:col>6</xdr:col>
                    <xdr:colOff>523875</xdr:colOff>
                    <xdr:row>11</xdr:row>
                    <xdr:rowOff>95250</xdr:rowOff>
                  </from>
                  <to>
                    <xdr:col>7</xdr:col>
                    <xdr:colOff>561975</xdr:colOff>
                    <xdr:row>12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T27"/>
  <sheetViews>
    <sheetView showGridLines="0" topLeftCell="A7" workbookViewId="0">
      <selection activeCell="G24" sqref="G24:M26"/>
    </sheetView>
  </sheetViews>
  <sheetFormatPr defaultRowHeight="15" x14ac:dyDescent="0.25"/>
  <cols>
    <col min="17" max="17" width="12.42578125" bestFit="1" customWidth="1"/>
  </cols>
  <sheetData>
    <row r="1" spans="2:20" ht="15.75" thickBot="1" x14ac:dyDescent="0.3"/>
    <row r="2" spans="2:20" ht="15" customHeight="1" x14ac:dyDescent="0.25">
      <c r="B2" s="55" t="str">
        <f>CONTEÚDO!B2</f>
        <v>Formulários (front) II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7"/>
    </row>
    <row r="3" spans="2:20" ht="15" customHeight="1" x14ac:dyDescent="0.25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60"/>
    </row>
    <row r="4" spans="2:20" ht="15" customHeigh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60"/>
    </row>
    <row r="5" spans="2:20" ht="15" customHeight="1" x14ac:dyDescent="0.25">
      <c r="B5" s="58"/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</row>
    <row r="6" spans="2:20" ht="15" customHeight="1" x14ac:dyDescent="0.25">
      <c r="B6" s="61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3"/>
    </row>
    <row r="9" spans="2:20" x14ac:dyDescent="0.25">
      <c r="Q9" t="s">
        <v>132</v>
      </c>
      <c r="R9" t="s">
        <v>134</v>
      </c>
      <c r="T9" s="13" t="s">
        <v>133</v>
      </c>
    </row>
    <row r="10" spans="2:20" x14ac:dyDescent="0.25">
      <c r="D10" s="15"/>
      <c r="E10" s="22"/>
      <c r="F10" s="22"/>
      <c r="G10" s="22"/>
      <c r="H10" s="22"/>
      <c r="I10" s="22"/>
      <c r="J10" s="22"/>
      <c r="K10" s="22"/>
      <c r="L10" s="22"/>
      <c r="M10" s="22"/>
      <c r="N10" s="16"/>
    </row>
    <row r="11" spans="2:20" x14ac:dyDescent="0.25">
      <c r="D11" s="17"/>
      <c r="E11" s="23" t="s">
        <v>127</v>
      </c>
      <c r="F11" s="23" t="s">
        <v>128</v>
      </c>
      <c r="G11" s="23"/>
      <c r="H11" s="23"/>
      <c r="I11" s="23"/>
      <c r="J11" s="23"/>
      <c r="K11" s="23" t="s">
        <v>125</v>
      </c>
      <c r="L11" s="24"/>
      <c r="M11" s="24" t="s">
        <v>126</v>
      </c>
      <c r="N11" s="18"/>
      <c r="Q11" s="15"/>
      <c r="R11" s="22"/>
      <c r="S11" s="22"/>
      <c r="T11" s="16"/>
    </row>
    <row r="12" spans="2:20" x14ac:dyDescent="0.25">
      <c r="D12" s="17"/>
      <c r="E12" s="21"/>
      <c r="F12" s="77" t="str">
        <f>LISTAS!B5</f>
        <v>Absorvente higiênico</v>
      </c>
      <c r="G12" s="77"/>
      <c r="H12" s="77"/>
      <c r="I12" s="77"/>
      <c r="J12" s="77"/>
      <c r="K12" s="14">
        <v>4</v>
      </c>
      <c r="L12" s="24"/>
      <c r="M12" s="14">
        <f>IF(Q12=TRUE,K12*VLOOKUP(F12,LISTAS!B5:C16,2,0),"-")</f>
        <v>93</v>
      </c>
      <c r="N12" s="18"/>
      <c r="Q12" s="26" t="b">
        <v>1</v>
      </c>
      <c r="R12" s="24"/>
      <c r="S12" s="24" t="s">
        <v>129</v>
      </c>
      <c r="T12" s="18"/>
    </row>
    <row r="13" spans="2:20" x14ac:dyDescent="0.25">
      <c r="D13" s="17"/>
      <c r="E13" s="24"/>
      <c r="F13" s="24"/>
      <c r="G13" s="24"/>
      <c r="H13" s="24"/>
      <c r="I13" s="24"/>
      <c r="J13" s="24"/>
      <c r="K13" s="24"/>
      <c r="L13" s="24"/>
      <c r="M13" s="24"/>
      <c r="N13" s="18"/>
      <c r="Q13" s="17"/>
      <c r="R13" s="24"/>
      <c r="S13" s="24" t="s">
        <v>130</v>
      </c>
      <c r="T13" s="18"/>
    </row>
    <row r="14" spans="2:20" x14ac:dyDescent="0.25">
      <c r="D14" s="17"/>
      <c r="E14" s="21"/>
      <c r="F14" s="77" t="str">
        <f>LISTAS!B7</f>
        <v>Anti-séptico bucal</v>
      </c>
      <c r="G14" s="77"/>
      <c r="H14" s="77"/>
      <c r="I14" s="77"/>
      <c r="J14" s="77"/>
      <c r="K14" s="14">
        <v>6</v>
      </c>
      <c r="L14" s="24"/>
      <c r="M14" s="14">
        <f>IF(Q14=TRUE,K14*VLOOKUP(F14,LISTAS!B7:C18,2,0),"-")</f>
        <v>171.54</v>
      </c>
      <c r="N14" s="18"/>
      <c r="Q14" s="17" t="b">
        <v>1</v>
      </c>
      <c r="R14" s="24"/>
      <c r="S14" s="24">
        <v>1</v>
      </c>
      <c r="T14" s="18"/>
    </row>
    <row r="15" spans="2:20" x14ac:dyDescent="0.25">
      <c r="D15" s="17"/>
      <c r="E15" s="24"/>
      <c r="F15" s="24"/>
      <c r="G15" s="24"/>
      <c r="H15" s="24"/>
      <c r="I15" s="24"/>
      <c r="J15" s="24"/>
      <c r="K15" s="24"/>
      <c r="L15" s="24"/>
      <c r="M15" s="24"/>
      <c r="N15" s="18"/>
      <c r="Q15" s="17"/>
      <c r="R15" s="24"/>
      <c r="S15" s="24"/>
      <c r="T15" s="18"/>
    </row>
    <row r="16" spans="2:20" x14ac:dyDescent="0.25">
      <c r="D16" s="17"/>
      <c r="E16" s="21"/>
      <c r="F16" s="77" t="str">
        <f>LISTAS!B9</f>
        <v>Cotonetes</v>
      </c>
      <c r="G16" s="77"/>
      <c r="H16" s="77"/>
      <c r="I16" s="77"/>
      <c r="J16" s="77"/>
      <c r="K16" s="14">
        <v>0</v>
      </c>
      <c r="L16" s="24"/>
      <c r="M16" s="14">
        <f>IF(Q16=TRUE,K16*VLOOKUP(F16,LISTAS!B9:C20,2,0),"-")</f>
        <v>0</v>
      </c>
      <c r="N16" s="18"/>
      <c r="Q16" s="17" t="b">
        <v>1</v>
      </c>
      <c r="R16" s="24"/>
      <c r="S16" s="24">
        <v>1</v>
      </c>
      <c r="T16" s="18"/>
    </row>
    <row r="17" spans="4:20" x14ac:dyDescent="0.25">
      <c r="D17" s="17"/>
      <c r="E17" s="24"/>
      <c r="F17" s="24"/>
      <c r="G17" s="24"/>
      <c r="H17" s="24"/>
      <c r="I17" s="24"/>
      <c r="J17" s="24"/>
      <c r="K17" s="24"/>
      <c r="L17" s="24"/>
      <c r="M17" s="24"/>
      <c r="N17" s="18"/>
      <c r="Q17" s="17"/>
      <c r="R17" s="24"/>
      <c r="S17" s="24"/>
      <c r="T17" s="18"/>
    </row>
    <row r="18" spans="4:20" x14ac:dyDescent="0.25">
      <c r="D18" s="17"/>
      <c r="E18" s="21"/>
      <c r="F18" s="77" t="str">
        <f>LISTAS!B11</f>
        <v>Creme hidratante para as mãos</v>
      </c>
      <c r="G18" s="77"/>
      <c r="H18" s="77"/>
      <c r="I18" s="77"/>
      <c r="J18" s="77"/>
      <c r="K18" s="14">
        <v>2</v>
      </c>
      <c r="L18" s="24"/>
      <c r="M18" s="14">
        <f>IF(Q18=TRUE,K18*VLOOKUP(F18,LISTAS!B11:C22,2,0),"-")</f>
        <v>33.340000000000003</v>
      </c>
      <c r="N18" s="18"/>
      <c r="Q18" s="17" t="b">
        <v>1</v>
      </c>
      <c r="R18" s="24"/>
      <c r="S18" s="24"/>
      <c r="T18" s="18"/>
    </row>
    <row r="19" spans="4:20" x14ac:dyDescent="0.25">
      <c r="D19" s="17"/>
      <c r="E19" s="24"/>
      <c r="F19" s="24"/>
      <c r="G19" s="24"/>
      <c r="H19" s="24"/>
      <c r="I19" s="24"/>
      <c r="J19" s="24"/>
      <c r="K19" s="24"/>
      <c r="L19" s="24"/>
      <c r="M19" s="24"/>
      <c r="N19" s="18"/>
      <c r="Q19" s="17"/>
      <c r="R19" s="24"/>
      <c r="S19" s="24"/>
      <c r="T19" s="18"/>
    </row>
    <row r="20" spans="4:20" x14ac:dyDescent="0.25">
      <c r="D20" s="17"/>
      <c r="E20" s="24"/>
      <c r="F20" s="24"/>
      <c r="G20" s="24"/>
      <c r="H20" s="24"/>
      <c r="I20" s="24"/>
      <c r="J20" s="24"/>
      <c r="K20" s="24"/>
      <c r="L20" s="24"/>
      <c r="M20" s="24"/>
      <c r="N20" s="18"/>
      <c r="Q20" s="19"/>
      <c r="R20" s="25"/>
      <c r="S20" s="25"/>
      <c r="T20" s="20"/>
    </row>
    <row r="21" spans="4:20" x14ac:dyDescent="0.25">
      <c r="D21" s="17"/>
      <c r="E21" s="24"/>
      <c r="F21" s="24"/>
      <c r="G21" s="24"/>
      <c r="H21" s="24"/>
      <c r="I21" s="24"/>
      <c r="J21" s="24"/>
      <c r="K21" s="24"/>
      <c r="L21" s="24"/>
      <c r="M21" s="24"/>
      <c r="N21" s="18"/>
    </row>
    <row r="22" spans="4:20" x14ac:dyDescent="0.25">
      <c r="D22" s="17"/>
      <c r="E22" s="24"/>
      <c r="F22" s="24"/>
      <c r="G22" s="24"/>
      <c r="H22" s="24"/>
      <c r="I22" s="24"/>
      <c r="J22" s="24"/>
      <c r="K22" s="24"/>
      <c r="L22" s="24"/>
      <c r="M22" s="24"/>
      <c r="N22" s="18"/>
    </row>
    <row r="23" spans="4:20" x14ac:dyDescent="0.25">
      <c r="D23" s="17"/>
      <c r="E23" s="24"/>
      <c r="F23" s="24"/>
      <c r="G23" s="24"/>
      <c r="H23" s="24"/>
      <c r="I23" s="24"/>
      <c r="J23" s="24"/>
      <c r="K23" s="24"/>
      <c r="L23" s="24"/>
      <c r="M23" s="24"/>
      <c r="N23" s="18"/>
    </row>
    <row r="24" spans="4:20" x14ac:dyDescent="0.25">
      <c r="D24" s="17"/>
      <c r="E24" s="24" t="s">
        <v>131</v>
      </c>
      <c r="F24" s="24"/>
      <c r="G24" s="76">
        <f>IF(S14=1,IF(S16=2,1,0.95)*SUM(M12:M18)+50,IF(S16=2,1,0.95)*SUM(M12:M18))</f>
        <v>332.98599999999999</v>
      </c>
      <c r="H24" s="76"/>
      <c r="I24" s="76"/>
      <c r="J24" s="76"/>
      <c r="K24" s="76"/>
      <c r="L24" s="76"/>
      <c r="M24" s="76"/>
      <c r="N24" s="18"/>
    </row>
    <row r="25" spans="4:20" x14ac:dyDescent="0.25">
      <c r="D25" s="17"/>
      <c r="E25" s="24"/>
      <c r="F25" s="24"/>
      <c r="G25" s="76"/>
      <c r="H25" s="76"/>
      <c r="I25" s="76"/>
      <c r="J25" s="76"/>
      <c r="K25" s="76"/>
      <c r="L25" s="76"/>
      <c r="M25" s="76"/>
      <c r="N25" s="18"/>
    </row>
    <row r="26" spans="4:20" x14ac:dyDescent="0.25">
      <c r="D26" s="17"/>
      <c r="E26" s="24"/>
      <c r="F26" s="24"/>
      <c r="G26" s="76"/>
      <c r="H26" s="76"/>
      <c r="I26" s="76"/>
      <c r="J26" s="76"/>
      <c r="K26" s="76"/>
      <c r="L26" s="76"/>
      <c r="M26" s="76"/>
      <c r="N26" s="18"/>
    </row>
    <row r="27" spans="4:20" x14ac:dyDescent="0.25">
      <c r="D27" s="19"/>
      <c r="E27" s="25"/>
      <c r="F27" s="25"/>
      <c r="G27" s="25"/>
      <c r="H27" s="25"/>
      <c r="I27" s="25"/>
      <c r="J27" s="25"/>
      <c r="K27" s="25"/>
      <c r="L27" s="25"/>
      <c r="M27" s="25"/>
      <c r="N27" s="20"/>
    </row>
  </sheetData>
  <mergeCells count="6">
    <mergeCell ref="G24:M26"/>
    <mergeCell ref="B2:Q6"/>
    <mergeCell ref="F12:J12"/>
    <mergeCell ref="F14:J14"/>
    <mergeCell ref="F16:J16"/>
    <mergeCell ref="F18:J18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Check Box 1">
              <controlPr defaultSize="0" autoFill="0" autoLine="0" autoPict="0">
                <anchor moveWithCells="1">
                  <from>
                    <xdr:col>4</xdr:col>
                    <xdr:colOff>171450</xdr:colOff>
                    <xdr:row>10</xdr:row>
                    <xdr:rowOff>142875</xdr:rowOff>
                  </from>
                  <to>
                    <xdr:col>4</xdr:col>
                    <xdr:colOff>447675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Spinner 2">
              <controlPr defaultSize="0" autoPict="0">
                <anchor moveWithCells="1" sizeWithCells="1">
                  <from>
                    <xdr:col>11</xdr:col>
                    <xdr:colOff>9525</xdr:colOff>
                    <xdr:row>10</xdr:row>
                    <xdr:rowOff>180975</xdr:rowOff>
                  </from>
                  <to>
                    <xdr:col>11</xdr:col>
                    <xdr:colOff>371475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Check Box 3">
              <controlPr defaultSize="0" autoFill="0" autoLine="0" autoPict="0">
                <anchor moveWithCells="1">
                  <from>
                    <xdr:col>4</xdr:col>
                    <xdr:colOff>171450</xdr:colOff>
                    <xdr:row>12</xdr:row>
                    <xdr:rowOff>142875</xdr:rowOff>
                  </from>
                  <to>
                    <xdr:col>4</xdr:col>
                    <xdr:colOff>447675</xdr:colOff>
                    <xdr:row>14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6" name="Spinner 4">
              <controlPr defaultSize="0" autoPict="0">
                <anchor moveWithCells="1" sizeWithCells="1">
                  <from>
                    <xdr:col>11</xdr:col>
                    <xdr:colOff>9525</xdr:colOff>
                    <xdr:row>12</xdr:row>
                    <xdr:rowOff>180975</xdr:rowOff>
                  </from>
                  <to>
                    <xdr:col>11</xdr:col>
                    <xdr:colOff>371475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7" name="Check Box 5">
              <controlPr defaultSize="0" autoFill="0" autoLine="0" autoPict="0">
                <anchor moveWithCells="1">
                  <from>
                    <xdr:col>4</xdr:col>
                    <xdr:colOff>171450</xdr:colOff>
                    <xdr:row>14</xdr:row>
                    <xdr:rowOff>142875</xdr:rowOff>
                  </from>
                  <to>
                    <xdr:col>4</xdr:col>
                    <xdr:colOff>447675</xdr:colOff>
                    <xdr:row>16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8" name="Spinner 6">
              <controlPr defaultSize="0" autoPict="0">
                <anchor moveWithCells="1" sizeWithCells="1">
                  <from>
                    <xdr:col>11</xdr:col>
                    <xdr:colOff>9525</xdr:colOff>
                    <xdr:row>14</xdr:row>
                    <xdr:rowOff>180975</xdr:rowOff>
                  </from>
                  <to>
                    <xdr:col>11</xdr:col>
                    <xdr:colOff>371475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9" name="Check Box 7">
              <controlPr defaultSize="0" autoFill="0" autoLine="0" autoPict="0">
                <anchor moveWithCells="1">
                  <from>
                    <xdr:col>4</xdr:col>
                    <xdr:colOff>171450</xdr:colOff>
                    <xdr:row>16</xdr:row>
                    <xdr:rowOff>142875</xdr:rowOff>
                  </from>
                  <to>
                    <xdr:col>4</xdr:col>
                    <xdr:colOff>447675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0" name="Spinner 8">
              <controlPr defaultSize="0" autoPict="0">
                <anchor moveWithCells="1" sizeWithCells="1">
                  <from>
                    <xdr:col>11</xdr:col>
                    <xdr:colOff>9525</xdr:colOff>
                    <xdr:row>16</xdr:row>
                    <xdr:rowOff>180975</xdr:rowOff>
                  </from>
                  <to>
                    <xdr:col>11</xdr:col>
                    <xdr:colOff>371475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1" name="Group Box 9">
              <controlPr defaultSize="0" autoFill="0" autoPict="0">
                <anchor moveWithCells="1">
                  <from>
                    <xdr:col>3</xdr:col>
                    <xdr:colOff>581025</xdr:colOff>
                    <xdr:row>18</xdr:row>
                    <xdr:rowOff>180975</xdr:rowOff>
                  </from>
                  <to>
                    <xdr:col>8</xdr:col>
                    <xdr:colOff>104775</xdr:colOff>
                    <xdr:row>22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2" name="Option Button 10">
              <controlPr defaultSize="0" autoFill="0" autoLine="0" autoPict="0">
                <anchor moveWithCells="1">
                  <from>
                    <xdr:col>4</xdr:col>
                    <xdr:colOff>152400</xdr:colOff>
                    <xdr:row>20</xdr:row>
                    <xdr:rowOff>66675</xdr:rowOff>
                  </from>
                  <to>
                    <xdr:col>6</xdr:col>
                    <xdr:colOff>19050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3" name="Option Button 11">
              <controlPr defaultSize="0" autoFill="0" autoLine="0" autoPict="0">
                <anchor moveWithCells="1">
                  <from>
                    <xdr:col>6</xdr:col>
                    <xdr:colOff>114300</xdr:colOff>
                    <xdr:row>20</xdr:row>
                    <xdr:rowOff>66675</xdr:rowOff>
                  </from>
                  <to>
                    <xdr:col>7</xdr:col>
                    <xdr:colOff>590550</xdr:colOff>
                    <xdr:row>21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4" name="Group Box 12">
              <controlPr defaultSize="0" autoFill="0" autoPict="0">
                <anchor moveWithCells="1">
                  <from>
                    <xdr:col>8</xdr:col>
                    <xdr:colOff>171450</xdr:colOff>
                    <xdr:row>18</xdr:row>
                    <xdr:rowOff>171450</xdr:rowOff>
                  </from>
                  <to>
                    <xdr:col>11</xdr:col>
                    <xdr:colOff>552450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5" name="Drop Down 13">
              <controlPr defaultSize="0" autoLine="0" autoPict="0">
                <anchor moveWithCells="1">
                  <from>
                    <xdr:col>8</xdr:col>
                    <xdr:colOff>504825</xdr:colOff>
                    <xdr:row>20</xdr:row>
                    <xdr:rowOff>38100</xdr:rowOff>
                  </from>
                  <to>
                    <xdr:col>11</xdr:col>
                    <xdr:colOff>219075</xdr:colOff>
                    <xdr:row>21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50"/>
  <sheetViews>
    <sheetView workbookViewId="0">
      <selection activeCell="B3" sqref="B3"/>
    </sheetView>
  </sheetViews>
  <sheetFormatPr defaultRowHeight="15" x14ac:dyDescent="0.25"/>
  <cols>
    <col min="2" max="2" width="30.85546875" bestFit="1" customWidth="1"/>
    <col min="3" max="4" width="11.42578125" customWidth="1"/>
    <col min="5" max="5" width="32" bestFit="1" customWidth="1"/>
    <col min="6" max="7" width="11.42578125" customWidth="1"/>
    <col min="8" max="8" width="21.140625" bestFit="1" customWidth="1"/>
    <col min="11" max="11" width="24" bestFit="1" customWidth="1"/>
  </cols>
  <sheetData>
    <row r="3" spans="1:12" ht="15.75" x14ac:dyDescent="0.25">
      <c r="B3" s="9" t="s">
        <v>12</v>
      </c>
      <c r="E3" s="9" t="s">
        <v>43</v>
      </c>
      <c r="H3" s="9" t="s">
        <v>90</v>
      </c>
      <c r="K3" s="9" t="s">
        <v>106</v>
      </c>
    </row>
    <row r="4" spans="1:12" ht="5.25" customHeight="1" x14ac:dyDescent="0.25">
      <c r="B4" s="10"/>
      <c r="E4" s="9"/>
      <c r="H4" s="10"/>
    </row>
    <row r="5" spans="1:12" ht="15.75" x14ac:dyDescent="0.25">
      <c r="A5">
        <v>1</v>
      </c>
      <c r="B5" s="11" t="s">
        <v>13</v>
      </c>
      <c r="C5">
        <v>23.25</v>
      </c>
      <c r="D5">
        <v>1</v>
      </c>
      <c r="E5" s="11" t="s">
        <v>44</v>
      </c>
      <c r="F5">
        <v>11.1</v>
      </c>
      <c r="G5">
        <v>1</v>
      </c>
      <c r="H5" s="11" t="s">
        <v>91</v>
      </c>
      <c r="I5">
        <v>8.07</v>
      </c>
      <c r="J5">
        <v>1</v>
      </c>
      <c r="K5" s="11" t="s">
        <v>107</v>
      </c>
      <c r="L5">
        <v>16.649999999999999</v>
      </c>
    </row>
    <row r="6" spans="1:12" ht="15.75" x14ac:dyDescent="0.25">
      <c r="A6">
        <v>2</v>
      </c>
      <c r="B6" s="11" t="s">
        <v>14</v>
      </c>
      <c r="C6">
        <v>5.42</v>
      </c>
      <c r="D6">
        <v>2</v>
      </c>
      <c r="E6" s="11" t="s">
        <v>45</v>
      </c>
      <c r="F6">
        <v>10.87</v>
      </c>
      <c r="G6">
        <v>2</v>
      </c>
      <c r="H6" s="11" t="s">
        <v>92</v>
      </c>
      <c r="I6">
        <v>37.69</v>
      </c>
      <c r="J6">
        <v>2</v>
      </c>
      <c r="K6" s="11" t="s">
        <v>108</v>
      </c>
      <c r="L6">
        <v>41.3</v>
      </c>
    </row>
    <row r="7" spans="1:12" ht="15.75" x14ac:dyDescent="0.25">
      <c r="A7">
        <v>3</v>
      </c>
      <c r="B7" s="12" t="s">
        <v>15</v>
      </c>
      <c r="C7">
        <v>28.59</v>
      </c>
      <c r="D7">
        <v>3</v>
      </c>
      <c r="E7" s="11" t="s">
        <v>46</v>
      </c>
      <c r="F7">
        <v>28.69</v>
      </c>
      <c r="G7">
        <v>3</v>
      </c>
      <c r="H7" s="11" t="s">
        <v>93</v>
      </c>
      <c r="I7">
        <v>45.42</v>
      </c>
      <c r="J7">
        <v>3</v>
      </c>
      <c r="K7" s="11" t="s">
        <v>109</v>
      </c>
      <c r="L7">
        <v>9.94</v>
      </c>
    </row>
    <row r="8" spans="1:12" ht="15.75" x14ac:dyDescent="0.25">
      <c r="A8">
        <v>4</v>
      </c>
      <c r="B8" s="11" t="s">
        <v>16</v>
      </c>
      <c r="C8">
        <v>44.02</v>
      </c>
      <c r="D8">
        <v>4</v>
      </c>
      <c r="E8" s="11" t="s">
        <v>47</v>
      </c>
      <c r="F8">
        <v>34.46</v>
      </c>
      <c r="G8">
        <v>4</v>
      </c>
      <c r="H8" s="11" t="s">
        <v>94</v>
      </c>
      <c r="I8">
        <v>35.119999999999997</v>
      </c>
      <c r="J8">
        <v>4</v>
      </c>
      <c r="K8" s="11" t="s">
        <v>110</v>
      </c>
      <c r="L8">
        <v>14.83</v>
      </c>
    </row>
    <row r="9" spans="1:12" ht="15.75" x14ac:dyDescent="0.25">
      <c r="A9">
        <v>5</v>
      </c>
      <c r="B9" s="11" t="s">
        <v>17</v>
      </c>
      <c r="C9">
        <v>38.51</v>
      </c>
      <c r="D9">
        <v>5</v>
      </c>
      <c r="E9" s="11" t="s">
        <v>48</v>
      </c>
      <c r="F9">
        <v>43.3</v>
      </c>
      <c r="G9">
        <v>5</v>
      </c>
      <c r="H9" s="11" t="s">
        <v>95</v>
      </c>
      <c r="I9">
        <v>6.32</v>
      </c>
      <c r="J9">
        <v>5</v>
      </c>
      <c r="K9" s="11" t="s">
        <v>111</v>
      </c>
      <c r="L9">
        <v>7.28</v>
      </c>
    </row>
    <row r="10" spans="1:12" ht="15.75" x14ac:dyDescent="0.25">
      <c r="A10">
        <v>6</v>
      </c>
      <c r="B10" s="11" t="s">
        <v>18</v>
      </c>
      <c r="C10">
        <v>17.79</v>
      </c>
      <c r="D10">
        <v>6</v>
      </c>
      <c r="E10" s="11" t="s">
        <v>49</v>
      </c>
      <c r="F10">
        <v>20.239999999999998</v>
      </c>
      <c r="G10">
        <v>6</v>
      </c>
      <c r="H10" s="11" t="s">
        <v>96</v>
      </c>
      <c r="I10">
        <v>40.700000000000003</v>
      </c>
      <c r="J10">
        <v>6</v>
      </c>
      <c r="K10" s="11" t="s">
        <v>112</v>
      </c>
      <c r="L10">
        <v>42.15</v>
      </c>
    </row>
    <row r="11" spans="1:12" ht="15.75" x14ac:dyDescent="0.25">
      <c r="A11">
        <v>7</v>
      </c>
      <c r="B11" s="11" t="s">
        <v>19</v>
      </c>
      <c r="C11">
        <v>16.670000000000002</v>
      </c>
      <c r="D11">
        <v>7</v>
      </c>
      <c r="E11" s="11" t="s">
        <v>50</v>
      </c>
      <c r="F11">
        <v>7.63</v>
      </c>
      <c r="G11">
        <v>7</v>
      </c>
      <c r="H11" s="11" t="s">
        <v>97</v>
      </c>
      <c r="I11">
        <v>11.57</v>
      </c>
      <c r="J11">
        <v>7</v>
      </c>
      <c r="K11" s="11" t="s">
        <v>113</v>
      </c>
      <c r="L11">
        <v>35.6</v>
      </c>
    </row>
    <row r="12" spans="1:12" ht="15.75" x14ac:dyDescent="0.25">
      <c r="A12">
        <v>8</v>
      </c>
      <c r="B12" s="11" t="s">
        <v>20</v>
      </c>
      <c r="C12">
        <v>28.88</v>
      </c>
      <c r="D12">
        <v>8</v>
      </c>
      <c r="E12" s="11" t="s">
        <v>51</v>
      </c>
      <c r="F12">
        <v>4.7699999999999996</v>
      </c>
      <c r="G12">
        <v>8</v>
      </c>
      <c r="H12" s="11" t="s">
        <v>98</v>
      </c>
      <c r="I12">
        <v>16.84</v>
      </c>
      <c r="J12">
        <v>8</v>
      </c>
      <c r="K12" s="11" t="s">
        <v>114</v>
      </c>
      <c r="L12">
        <v>4.57</v>
      </c>
    </row>
    <row r="13" spans="1:12" ht="15.75" x14ac:dyDescent="0.25">
      <c r="A13">
        <v>9</v>
      </c>
      <c r="B13" s="11" t="s">
        <v>21</v>
      </c>
      <c r="C13">
        <v>18.09</v>
      </c>
      <c r="D13">
        <v>9</v>
      </c>
      <c r="E13" s="11" t="s">
        <v>52</v>
      </c>
      <c r="F13">
        <v>46.43</v>
      </c>
      <c r="G13">
        <v>9</v>
      </c>
      <c r="H13" s="11" t="s">
        <v>99</v>
      </c>
      <c r="I13">
        <v>39.03</v>
      </c>
      <c r="J13">
        <v>9</v>
      </c>
      <c r="K13" s="11" t="s">
        <v>115</v>
      </c>
      <c r="L13">
        <v>45.33</v>
      </c>
    </row>
    <row r="14" spans="1:12" ht="15.75" x14ac:dyDescent="0.25">
      <c r="A14">
        <v>10</v>
      </c>
      <c r="B14" s="11" t="s">
        <v>22</v>
      </c>
      <c r="C14">
        <v>45.72</v>
      </c>
      <c r="D14">
        <v>10</v>
      </c>
      <c r="E14" s="11" t="s">
        <v>53</v>
      </c>
      <c r="F14">
        <v>7.76</v>
      </c>
      <c r="G14">
        <v>10</v>
      </c>
      <c r="H14" s="11" t="s">
        <v>100</v>
      </c>
      <c r="I14">
        <v>9.44</v>
      </c>
      <c r="J14">
        <v>10</v>
      </c>
      <c r="K14" s="11" t="s">
        <v>116</v>
      </c>
      <c r="L14">
        <v>26.26</v>
      </c>
    </row>
    <row r="15" spans="1:12" ht="15.75" x14ac:dyDescent="0.25">
      <c r="A15">
        <v>11</v>
      </c>
      <c r="B15" s="11" t="s">
        <v>23</v>
      </c>
      <c r="C15">
        <v>18.48</v>
      </c>
      <c r="D15">
        <v>11</v>
      </c>
      <c r="E15" s="11" t="s">
        <v>54</v>
      </c>
      <c r="F15">
        <v>19.5</v>
      </c>
      <c r="G15">
        <v>11</v>
      </c>
      <c r="H15" s="11" t="s">
        <v>101</v>
      </c>
      <c r="I15">
        <v>14.07</v>
      </c>
      <c r="J15">
        <v>11</v>
      </c>
      <c r="K15" s="11" t="s">
        <v>117</v>
      </c>
      <c r="L15">
        <v>2.5299999999999998</v>
      </c>
    </row>
    <row r="16" spans="1:12" ht="15.75" x14ac:dyDescent="0.25">
      <c r="A16">
        <v>12</v>
      </c>
      <c r="B16" s="11" t="s">
        <v>24</v>
      </c>
      <c r="C16">
        <v>10.38</v>
      </c>
      <c r="D16">
        <v>12</v>
      </c>
      <c r="E16" s="11" t="s">
        <v>55</v>
      </c>
      <c r="F16">
        <v>20.309999999999999</v>
      </c>
      <c r="G16">
        <v>12</v>
      </c>
      <c r="H16" s="11" t="s">
        <v>102</v>
      </c>
      <c r="I16">
        <v>12.53</v>
      </c>
      <c r="J16">
        <v>12</v>
      </c>
      <c r="L16">
        <v>24.91</v>
      </c>
    </row>
    <row r="17" spans="1:12" ht="15.75" x14ac:dyDescent="0.25">
      <c r="A17">
        <v>13</v>
      </c>
      <c r="B17" s="11" t="s">
        <v>25</v>
      </c>
      <c r="C17">
        <v>24.6</v>
      </c>
      <c r="D17">
        <v>13</v>
      </c>
      <c r="E17" s="11" t="s">
        <v>56</v>
      </c>
      <c r="F17">
        <v>11.75</v>
      </c>
      <c r="G17">
        <v>13</v>
      </c>
      <c r="H17" s="11" t="s">
        <v>103</v>
      </c>
      <c r="I17">
        <v>44.11</v>
      </c>
      <c r="J17">
        <v>13</v>
      </c>
      <c r="L17">
        <v>33.14</v>
      </c>
    </row>
    <row r="18" spans="1:12" ht="15.75" x14ac:dyDescent="0.25">
      <c r="A18">
        <v>14</v>
      </c>
      <c r="B18" s="11" t="s">
        <v>26</v>
      </c>
      <c r="C18">
        <v>43.89</v>
      </c>
      <c r="D18">
        <v>14</v>
      </c>
      <c r="E18" s="11" t="s">
        <v>57</v>
      </c>
      <c r="F18">
        <v>9.18</v>
      </c>
      <c r="G18">
        <v>14</v>
      </c>
      <c r="H18" s="11" t="s">
        <v>104</v>
      </c>
      <c r="I18">
        <v>38.68</v>
      </c>
      <c r="J18">
        <v>14</v>
      </c>
      <c r="L18">
        <v>43.74</v>
      </c>
    </row>
    <row r="19" spans="1:12" ht="15.75" x14ac:dyDescent="0.25">
      <c r="A19">
        <v>15</v>
      </c>
      <c r="B19" s="11" t="s">
        <v>27</v>
      </c>
      <c r="C19">
        <v>31.62</v>
      </c>
      <c r="D19">
        <v>15</v>
      </c>
      <c r="E19" s="11" t="s">
        <v>58</v>
      </c>
      <c r="F19">
        <v>7.6</v>
      </c>
      <c r="G19">
        <v>15</v>
      </c>
      <c r="H19" s="11" t="s">
        <v>105</v>
      </c>
      <c r="I19">
        <v>17.32</v>
      </c>
      <c r="J19">
        <v>15</v>
      </c>
      <c r="L19">
        <v>3.59</v>
      </c>
    </row>
    <row r="20" spans="1:12" ht="15.75" x14ac:dyDescent="0.25">
      <c r="A20">
        <v>16</v>
      </c>
      <c r="B20" s="11" t="s">
        <v>28</v>
      </c>
      <c r="C20">
        <v>26.83</v>
      </c>
      <c r="D20">
        <v>16</v>
      </c>
      <c r="E20" s="11" t="s">
        <v>59</v>
      </c>
      <c r="F20">
        <v>44.73</v>
      </c>
      <c r="G20">
        <v>16</v>
      </c>
      <c r="I20">
        <v>7.94</v>
      </c>
      <c r="J20">
        <v>16</v>
      </c>
      <c r="L20">
        <v>43.76</v>
      </c>
    </row>
    <row r="21" spans="1:12" ht="15.75" x14ac:dyDescent="0.25">
      <c r="A21">
        <v>17</v>
      </c>
      <c r="B21" s="11" t="s">
        <v>29</v>
      </c>
      <c r="C21">
        <v>4.9800000000000004</v>
      </c>
      <c r="D21">
        <v>17</v>
      </c>
      <c r="E21" s="11" t="s">
        <v>60</v>
      </c>
      <c r="F21">
        <v>38.380000000000003</v>
      </c>
      <c r="G21">
        <v>17</v>
      </c>
      <c r="I21">
        <v>14.19</v>
      </c>
      <c r="J21">
        <v>17</v>
      </c>
      <c r="L21">
        <v>25.04</v>
      </c>
    </row>
    <row r="22" spans="1:12" ht="15.75" x14ac:dyDescent="0.25">
      <c r="A22">
        <v>18</v>
      </c>
      <c r="B22" s="11" t="s">
        <v>30</v>
      </c>
      <c r="C22">
        <v>29.2</v>
      </c>
      <c r="D22">
        <v>18</v>
      </c>
      <c r="E22" s="11" t="s">
        <v>61</v>
      </c>
      <c r="F22">
        <v>30.93</v>
      </c>
      <c r="G22">
        <v>18</v>
      </c>
      <c r="I22">
        <v>31.9</v>
      </c>
      <c r="J22">
        <v>18</v>
      </c>
      <c r="L22">
        <v>45.2</v>
      </c>
    </row>
    <row r="23" spans="1:12" ht="15.75" x14ac:dyDescent="0.25">
      <c r="A23">
        <v>19</v>
      </c>
      <c r="B23" s="11" t="s">
        <v>31</v>
      </c>
      <c r="C23">
        <v>13.58</v>
      </c>
      <c r="D23">
        <v>19</v>
      </c>
      <c r="E23" s="11" t="s">
        <v>62</v>
      </c>
      <c r="F23">
        <v>12.96</v>
      </c>
      <c r="G23">
        <v>19</v>
      </c>
      <c r="I23">
        <v>13.91</v>
      </c>
      <c r="J23">
        <v>19</v>
      </c>
      <c r="L23">
        <v>26.7</v>
      </c>
    </row>
    <row r="24" spans="1:12" ht="15.75" x14ac:dyDescent="0.25">
      <c r="A24">
        <v>20</v>
      </c>
      <c r="B24" s="11" t="s">
        <v>32</v>
      </c>
      <c r="C24">
        <v>19.02</v>
      </c>
      <c r="D24">
        <v>20</v>
      </c>
      <c r="E24" s="11" t="s">
        <v>63</v>
      </c>
      <c r="F24">
        <v>8.36</v>
      </c>
      <c r="G24">
        <v>20</v>
      </c>
      <c r="I24">
        <v>41.2</v>
      </c>
      <c r="J24">
        <v>20</v>
      </c>
      <c r="L24">
        <v>35.79</v>
      </c>
    </row>
    <row r="25" spans="1:12" ht="15.75" x14ac:dyDescent="0.25">
      <c r="A25">
        <v>21</v>
      </c>
      <c r="B25" s="11" t="s">
        <v>33</v>
      </c>
      <c r="C25">
        <v>12.76</v>
      </c>
      <c r="D25">
        <v>21</v>
      </c>
      <c r="E25" s="11" t="s">
        <v>64</v>
      </c>
      <c r="F25">
        <v>36.93</v>
      </c>
      <c r="G25">
        <v>21</v>
      </c>
      <c r="I25">
        <v>28.6</v>
      </c>
      <c r="J25">
        <v>21</v>
      </c>
      <c r="L25">
        <v>23.31</v>
      </c>
    </row>
    <row r="26" spans="1:12" ht="15.75" x14ac:dyDescent="0.25">
      <c r="A26">
        <v>22</v>
      </c>
      <c r="B26" s="11" t="s">
        <v>34</v>
      </c>
      <c r="C26">
        <v>37.549999999999997</v>
      </c>
      <c r="D26">
        <v>22</v>
      </c>
      <c r="E26" s="11" t="s">
        <v>65</v>
      </c>
      <c r="F26">
        <v>18.16</v>
      </c>
      <c r="G26">
        <v>22</v>
      </c>
      <c r="I26">
        <v>45.61</v>
      </c>
      <c r="J26">
        <v>22</v>
      </c>
      <c r="L26">
        <v>10.85</v>
      </c>
    </row>
    <row r="27" spans="1:12" ht="15.75" x14ac:dyDescent="0.25">
      <c r="A27">
        <v>23</v>
      </c>
      <c r="B27" s="11" t="s">
        <v>35</v>
      </c>
      <c r="C27">
        <v>32.81</v>
      </c>
      <c r="D27">
        <v>23</v>
      </c>
      <c r="E27" s="11" t="s">
        <v>66</v>
      </c>
      <c r="F27">
        <v>24.05</v>
      </c>
      <c r="G27">
        <v>23</v>
      </c>
      <c r="I27">
        <v>11.39</v>
      </c>
      <c r="J27">
        <v>23</v>
      </c>
      <c r="L27">
        <v>24.39</v>
      </c>
    </row>
    <row r="28" spans="1:12" ht="15.75" x14ac:dyDescent="0.25">
      <c r="A28">
        <v>24</v>
      </c>
      <c r="B28" s="11" t="s">
        <v>36</v>
      </c>
      <c r="C28">
        <v>44.77</v>
      </c>
      <c r="D28">
        <v>24</v>
      </c>
      <c r="E28" s="11" t="s">
        <v>67</v>
      </c>
      <c r="F28">
        <v>12.67</v>
      </c>
      <c r="G28">
        <v>24</v>
      </c>
      <c r="I28">
        <v>29.18</v>
      </c>
      <c r="J28">
        <v>24</v>
      </c>
      <c r="L28">
        <v>27.15</v>
      </c>
    </row>
    <row r="29" spans="1:12" ht="15.75" x14ac:dyDescent="0.25">
      <c r="A29">
        <v>25</v>
      </c>
      <c r="B29" s="11" t="s">
        <v>37</v>
      </c>
      <c r="C29">
        <v>39.97</v>
      </c>
      <c r="D29">
        <v>25</v>
      </c>
      <c r="E29" s="11" t="s">
        <v>68</v>
      </c>
      <c r="F29">
        <v>16.989999999999998</v>
      </c>
      <c r="G29">
        <v>25</v>
      </c>
      <c r="I29">
        <v>23.18</v>
      </c>
      <c r="J29">
        <v>25</v>
      </c>
      <c r="L29">
        <v>21.9</v>
      </c>
    </row>
    <row r="30" spans="1:12" ht="15.75" x14ac:dyDescent="0.25">
      <c r="A30">
        <v>26</v>
      </c>
      <c r="B30" s="11" t="s">
        <v>38</v>
      </c>
      <c r="C30">
        <v>30.54</v>
      </c>
      <c r="D30">
        <v>26</v>
      </c>
      <c r="E30" s="11" t="s">
        <v>69</v>
      </c>
      <c r="F30">
        <v>34.39</v>
      </c>
      <c r="G30">
        <v>26</v>
      </c>
      <c r="I30">
        <v>20.95</v>
      </c>
      <c r="J30">
        <v>26</v>
      </c>
      <c r="L30">
        <v>10.57</v>
      </c>
    </row>
    <row r="31" spans="1:12" ht="15.75" x14ac:dyDescent="0.25">
      <c r="A31">
        <v>27</v>
      </c>
      <c r="B31" s="11" t="s">
        <v>39</v>
      </c>
      <c r="C31">
        <v>45.16</v>
      </c>
      <c r="D31">
        <v>27</v>
      </c>
      <c r="E31" s="11" t="s">
        <v>70</v>
      </c>
      <c r="F31">
        <v>32.74</v>
      </c>
      <c r="G31">
        <v>27</v>
      </c>
      <c r="I31">
        <v>8.0299999999999994</v>
      </c>
      <c r="J31">
        <v>27</v>
      </c>
      <c r="L31">
        <v>14.3</v>
      </c>
    </row>
    <row r="32" spans="1:12" ht="15.75" x14ac:dyDescent="0.25">
      <c r="A32">
        <v>28</v>
      </c>
      <c r="B32" s="11" t="s">
        <v>40</v>
      </c>
      <c r="C32">
        <v>8.0299999999999994</v>
      </c>
      <c r="D32">
        <v>28</v>
      </c>
      <c r="E32" s="11" t="s">
        <v>71</v>
      </c>
      <c r="F32">
        <v>19.18</v>
      </c>
      <c r="G32">
        <v>28</v>
      </c>
      <c r="I32">
        <v>15.98</v>
      </c>
      <c r="J32">
        <v>28</v>
      </c>
      <c r="L32">
        <v>28.37</v>
      </c>
    </row>
    <row r="33" spans="1:12" ht="15.75" x14ac:dyDescent="0.25">
      <c r="A33">
        <v>29</v>
      </c>
      <c r="B33" s="11" t="s">
        <v>41</v>
      </c>
      <c r="C33">
        <v>8.7799999999999994</v>
      </c>
      <c r="D33">
        <v>29</v>
      </c>
      <c r="E33" s="11" t="s">
        <v>72</v>
      </c>
      <c r="F33">
        <v>30.29</v>
      </c>
      <c r="G33">
        <v>29</v>
      </c>
      <c r="I33">
        <v>18.23</v>
      </c>
      <c r="J33">
        <v>29</v>
      </c>
      <c r="L33">
        <v>40.840000000000003</v>
      </c>
    </row>
    <row r="34" spans="1:12" ht="15.75" x14ac:dyDescent="0.25">
      <c r="A34">
        <v>30</v>
      </c>
      <c r="B34" s="11" t="s">
        <v>42</v>
      </c>
      <c r="C34">
        <v>36.950000000000003</v>
      </c>
      <c r="D34">
        <v>30</v>
      </c>
      <c r="E34" s="11" t="s">
        <v>73</v>
      </c>
      <c r="F34">
        <v>37.69</v>
      </c>
      <c r="G34">
        <v>30</v>
      </c>
      <c r="I34">
        <v>40.29</v>
      </c>
      <c r="J34">
        <v>30</v>
      </c>
      <c r="L34">
        <v>33.200000000000003</v>
      </c>
    </row>
    <row r="35" spans="1:12" ht="15.75" x14ac:dyDescent="0.25">
      <c r="A35">
        <v>31</v>
      </c>
      <c r="C35">
        <v>27.98</v>
      </c>
      <c r="D35">
        <v>31</v>
      </c>
      <c r="E35" s="11" t="s">
        <v>74</v>
      </c>
      <c r="F35">
        <v>31.25</v>
      </c>
      <c r="G35">
        <v>31</v>
      </c>
      <c r="I35">
        <v>20.11</v>
      </c>
      <c r="J35">
        <v>31</v>
      </c>
      <c r="L35">
        <v>42.27</v>
      </c>
    </row>
    <row r="36" spans="1:12" ht="15.75" x14ac:dyDescent="0.25">
      <c r="A36">
        <v>32</v>
      </c>
      <c r="C36">
        <v>8.33</v>
      </c>
      <c r="D36">
        <v>32</v>
      </c>
      <c r="E36" s="11" t="s">
        <v>75</v>
      </c>
      <c r="F36">
        <v>12.95</v>
      </c>
      <c r="G36">
        <v>32</v>
      </c>
      <c r="I36">
        <v>23.73</v>
      </c>
      <c r="J36">
        <v>32</v>
      </c>
      <c r="L36">
        <v>17.559999999999999</v>
      </c>
    </row>
    <row r="37" spans="1:12" ht="15.75" x14ac:dyDescent="0.25">
      <c r="A37">
        <v>33</v>
      </c>
      <c r="C37">
        <v>12.69</v>
      </c>
      <c r="D37">
        <v>33</v>
      </c>
      <c r="E37" s="11" t="s">
        <v>76</v>
      </c>
      <c r="F37">
        <v>17.690000000000001</v>
      </c>
      <c r="G37">
        <v>33</v>
      </c>
      <c r="I37">
        <v>3.31</v>
      </c>
      <c r="J37">
        <v>33</v>
      </c>
      <c r="L37">
        <v>40.92</v>
      </c>
    </row>
    <row r="38" spans="1:12" ht="15.75" x14ac:dyDescent="0.25">
      <c r="A38">
        <v>34</v>
      </c>
      <c r="C38">
        <v>18.55</v>
      </c>
      <c r="D38">
        <v>34</v>
      </c>
      <c r="E38" s="11" t="s">
        <v>77</v>
      </c>
      <c r="F38">
        <v>17.43</v>
      </c>
      <c r="G38">
        <v>34</v>
      </c>
      <c r="I38">
        <v>9.2799999999999994</v>
      </c>
      <c r="J38">
        <v>34</v>
      </c>
      <c r="L38">
        <v>13.44</v>
      </c>
    </row>
    <row r="39" spans="1:12" ht="15.75" x14ac:dyDescent="0.25">
      <c r="A39">
        <v>35</v>
      </c>
      <c r="C39">
        <v>28.75</v>
      </c>
      <c r="D39">
        <v>35</v>
      </c>
      <c r="E39" s="11" t="s">
        <v>78</v>
      </c>
      <c r="F39">
        <v>40.17</v>
      </c>
      <c r="G39">
        <v>35</v>
      </c>
      <c r="I39">
        <v>2.72</v>
      </c>
      <c r="J39">
        <v>35</v>
      </c>
      <c r="L39">
        <v>32.33</v>
      </c>
    </row>
    <row r="40" spans="1:12" ht="15.75" x14ac:dyDescent="0.25">
      <c r="A40">
        <v>36</v>
      </c>
      <c r="C40">
        <v>11.32</v>
      </c>
      <c r="D40">
        <v>36</v>
      </c>
      <c r="E40" s="11" t="s">
        <v>79</v>
      </c>
      <c r="F40">
        <v>28.02</v>
      </c>
      <c r="G40">
        <v>36</v>
      </c>
      <c r="I40">
        <v>46.24</v>
      </c>
      <c r="J40">
        <v>36</v>
      </c>
      <c r="L40">
        <v>44.23</v>
      </c>
    </row>
    <row r="41" spans="1:12" ht="15.75" x14ac:dyDescent="0.25">
      <c r="A41">
        <v>37</v>
      </c>
      <c r="C41">
        <v>27.93</v>
      </c>
      <c r="D41">
        <v>37</v>
      </c>
      <c r="E41" s="11" t="s">
        <v>80</v>
      </c>
      <c r="F41">
        <v>16.79</v>
      </c>
      <c r="G41">
        <v>37</v>
      </c>
      <c r="I41">
        <v>33.5</v>
      </c>
      <c r="J41">
        <v>37</v>
      </c>
      <c r="L41">
        <v>47.87</v>
      </c>
    </row>
    <row r="42" spans="1:12" ht="15.75" x14ac:dyDescent="0.25">
      <c r="A42">
        <v>38</v>
      </c>
      <c r="C42">
        <v>39.090000000000003</v>
      </c>
      <c r="D42">
        <v>38</v>
      </c>
      <c r="E42" s="11" t="s">
        <v>81</v>
      </c>
      <c r="F42">
        <v>17.11</v>
      </c>
      <c r="G42">
        <v>38</v>
      </c>
      <c r="I42">
        <v>8.08</v>
      </c>
      <c r="J42">
        <v>38</v>
      </c>
      <c r="L42">
        <v>24.1</v>
      </c>
    </row>
    <row r="43" spans="1:12" ht="15.75" x14ac:dyDescent="0.25">
      <c r="A43">
        <v>39</v>
      </c>
      <c r="C43">
        <v>11.48</v>
      </c>
      <c r="D43">
        <v>39</v>
      </c>
      <c r="E43" s="11" t="s">
        <v>82</v>
      </c>
      <c r="F43">
        <v>7.46</v>
      </c>
      <c r="G43">
        <v>39</v>
      </c>
      <c r="I43">
        <v>45.87</v>
      </c>
      <c r="J43">
        <v>39</v>
      </c>
      <c r="L43">
        <v>40.46</v>
      </c>
    </row>
    <row r="44" spans="1:12" ht="15.75" x14ac:dyDescent="0.25">
      <c r="A44">
        <v>40</v>
      </c>
      <c r="C44">
        <v>10.99</v>
      </c>
      <c r="D44">
        <v>40</v>
      </c>
      <c r="E44" s="11" t="s">
        <v>83</v>
      </c>
      <c r="F44">
        <v>5.15</v>
      </c>
      <c r="G44">
        <v>40</v>
      </c>
      <c r="I44">
        <v>38.520000000000003</v>
      </c>
      <c r="J44">
        <v>40</v>
      </c>
      <c r="L44">
        <v>24.06</v>
      </c>
    </row>
    <row r="45" spans="1:12" ht="15.75" x14ac:dyDescent="0.25">
      <c r="A45">
        <v>41</v>
      </c>
      <c r="C45">
        <v>38.07</v>
      </c>
      <c r="D45">
        <v>41</v>
      </c>
      <c r="E45" s="11" t="s">
        <v>84</v>
      </c>
      <c r="F45">
        <v>46.84</v>
      </c>
      <c r="G45">
        <v>41</v>
      </c>
      <c r="I45">
        <v>11.38</v>
      </c>
      <c r="J45">
        <v>41</v>
      </c>
      <c r="L45">
        <v>45.86</v>
      </c>
    </row>
    <row r="46" spans="1:12" ht="15.75" x14ac:dyDescent="0.25">
      <c r="A46">
        <v>42</v>
      </c>
      <c r="C46">
        <v>34.96</v>
      </c>
      <c r="D46">
        <v>42</v>
      </c>
      <c r="E46" s="11" t="s">
        <v>85</v>
      </c>
      <c r="F46">
        <v>45.02</v>
      </c>
      <c r="G46">
        <v>42</v>
      </c>
      <c r="I46">
        <v>34.49</v>
      </c>
      <c r="J46">
        <v>42</v>
      </c>
      <c r="L46">
        <v>38.08</v>
      </c>
    </row>
    <row r="47" spans="1:12" ht="15.75" x14ac:dyDescent="0.25">
      <c r="A47">
        <v>43</v>
      </c>
      <c r="C47">
        <v>25.07</v>
      </c>
      <c r="D47">
        <v>43</v>
      </c>
      <c r="E47" s="11" t="s">
        <v>86</v>
      </c>
      <c r="F47">
        <v>19.79</v>
      </c>
      <c r="G47">
        <v>43</v>
      </c>
      <c r="I47">
        <v>44.18</v>
      </c>
      <c r="J47">
        <v>43</v>
      </c>
      <c r="L47">
        <v>39.380000000000003</v>
      </c>
    </row>
    <row r="48" spans="1:12" ht="15.75" x14ac:dyDescent="0.25">
      <c r="A48">
        <v>44</v>
      </c>
      <c r="C48">
        <v>44.79</v>
      </c>
      <c r="D48">
        <v>44</v>
      </c>
      <c r="E48" s="11" t="s">
        <v>87</v>
      </c>
      <c r="F48">
        <v>44.55</v>
      </c>
      <c r="G48">
        <v>44</v>
      </c>
      <c r="I48">
        <v>24.27</v>
      </c>
      <c r="J48">
        <v>44</v>
      </c>
      <c r="L48">
        <v>39.19</v>
      </c>
    </row>
    <row r="49" spans="1:12" ht="15.75" x14ac:dyDescent="0.25">
      <c r="A49">
        <v>45</v>
      </c>
      <c r="C49">
        <v>22.83</v>
      </c>
      <c r="D49">
        <v>45</v>
      </c>
      <c r="E49" s="11" t="s">
        <v>88</v>
      </c>
      <c r="F49">
        <v>30.22</v>
      </c>
      <c r="G49">
        <v>45</v>
      </c>
      <c r="I49">
        <v>39.68</v>
      </c>
      <c r="J49">
        <v>45</v>
      </c>
      <c r="L49">
        <v>11.17</v>
      </c>
    </row>
    <row r="50" spans="1:12" ht="15.75" x14ac:dyDescent="0.25">
      <c r="A50">
        <v>46</v>
      </c>
      <c r="C50">
        <v>38.200000000000003</v>
      </c>
      <c r="D50">
        <v>46</v>
      </c>
      <c r="E50" s="11" t="s">
        <v>89</v>
      </c>
      <c r="F50">
        <v>23.65</v>
      </c>
      <c r="G50">
        <v>46</v>
      </c>
      <c r="I50">
        <v>32.46</v>
      </c>
      <c r="J50">
        <v>46</v>
      </c>
      <c r="L50">
        <v>47.26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CONTEÚDO</vt:lpstr>
      <vt:lpstr>EXPLICAÇÃO</vt:lpstr>
      <vt:lpstr>EXERCÍCIOS</vt:lpstr>
      <vt:lpstr>EXERCÍCIOS (resolvido1)</vt:lpstr>
      <vt:lpstr>EXERCÍCIOS (2)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dcterms:created xsi:type="dcterms:W3CDTF">2015-11-17T16:12:59Z</dcterms:created>
  <dcterms:modified xsi:type="dcterms:W3CDTF">2022-01-24T19:11:51Z</dcterms:modified>
</cp:coreProperties>
</file>