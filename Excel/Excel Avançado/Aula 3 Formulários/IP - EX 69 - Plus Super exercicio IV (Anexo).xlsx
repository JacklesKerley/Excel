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s\Excel\Excel Avançado\Aula 3 Formulários\"/>
    </mc:Choice>
  </mc:AlternateContent>
  <bookViews>
    <workbookView xWindow="-120" yWindow="-120" windowWidth="20730" windowHeight="11160" activeTab="1"/>
  </bookViews>
  <sheets>
    <sheet name="CONTEÚDO" sheetId="1" r:id="rId1"/>
    <sheet name="EXERCÍCIO" sheetId="4" r:id="rId2"/>
    <sheet name="EXERCÍCIO-RESOLVIDO" sheetId="5" state="hidden" r:id="rId3"/>
  </sheets>
  <definedNames>
    <definedName name="_xlnm._FilterDatabase" localSheetId="1" hidden="1">EXERCÍCIO!$H$61:$J$61</definedName>
    <definedName name="_xlnm._FilterDatabase" localSheetId="2" hidden="1">'EXERCÍCIO-RESOLVIDO'!$H$61:$K$61</definedName>
    <definedName name="_xlchart.0" hidden="1">EXERCÍCIO!$I$62:$I$66</definedName>
    <definedName name="_xlchart.1" hidden="1">EXERCÍCIO!$J$61</definedName>
    <definedName name="_xlchart.2" hidden="1">EXERCÍCIO!$J$62:$J$66</definedName>
    <definedName name="_xlchart.3" hidden="1">EXERCÍCIO!$I$62:$I$66</definedName>
    <definedName name="_xlchart.4" hidden="1">EXERCÍCIO!$J$61</definedName>
    <definedName name="_xlchart.5" hidden="1">EXERCÍCIO!$J$62:$J$66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3" i="4" l="1"/>
  <c r="J64" i="4"/>
  <c r="J65" i="4"/>
  <c r="J66" i="4"/>
  <c r="J62" i="4"/>
  <c r="C96" i="4"/>
  <c r="C98" i="4"/>
  <c r="C99" i="4"/>
  <c r="C100" i="4"/>
  <c r="C101" i="4"/>
  <c r="C97" i="4"/>
  <c r="C89" i="4"/>
  <c r="E93" i="4"/>
  <c r="E92" i="4"/>
  <c r="E90" i="4"/>
  <c r="D89" i="4"/>
  <c r="E89" i="4"/>
  <c r="D90" i="4"/>
  <c r="D91" i="4"/>
  <c r="E91" i="4"/>
  <c r="D92" i="4"/>
  <c r="D93" i="4"/>
  <c r="C90" i="4"/>
  <c r="C91" i="4"/>
  <c r="C92" i="4"/>
  <c r="C93" i="4"/>
  <c r="H45" i="4"/>
  <c r="J65" i="5" l="1"/>
  <c r="J62" i="5"/>
  <c r="K62" i="5" s="1"/>
  <c r="J64" i="5"/>
  <c r="J66" i="5"/>
  <c r="J63" i="5"/>
  <c r="K63" i="5" s="1"/>
  <c r="D88" i="5"/>
  <c r="E88" i="5"/>
  <c r="D89" i="5"/>
  <c r="E89" i="5"/>
  <c r="D90" i="5"/>
  <c r="E90" i="5"/>
  <c r="D91" i="5"/>
  <c r="E91" i="5"/>
  <c r="D92" i="5"/>
  <c r="E92" i="5"/>
  <c r="C92" i="5"/>
  <c r="C99" i="5" s="1"/>
  <c r="C89" i="5"/>
  <c r="C96" i="5" s="1"/>
  <c r="C90" i="5"/>
  <c r="C97" i="5" s="1"/>
  <c r="C91" i="5"/>
  <c r="C98" i="5" s="1"/>
  <c r="C88" i="5"/>
  <c r="C95" i="5" s="1"/>
  <c r="H45" i="5"/>
  <c r="B2" i="5"/>
  <c r="K64" i="5" l="1"/>
  <c r="K65" i="5" s="1"/>
  <c r="K66" i="5" s="1"/>
</calcChain>
</file>

<file path=xl/sharedStrings.xml><?xml version="1.0" encoding="utf-8"?>
<sst xmlns="http://schemas.openxmlformats.org/spreadsheetml/2006/main" count="129" uniqueCount="63">
  <si>
    <t>EXERCÍCIO</t>
  </si>
  <si>
    <t>cod. Da amostra</t>
  </si>
  <si>
    <t>medida A</t>
  </si>
  <si>
    <t>medida B</t>
  </si>
  <si>
    <t>medida C</t>
  </si>
  <si>
    <t>retrabalho</t>
  </si>
  <si>
    <t>freq0</t>
  </si>
  <si>
    <t>freq1</t>
  </si>
  <si>
    <t>freq2</t>
  </si>
  <si>
    <t>freq3</t>
  </si>
  <si>
    <t>freq4</t>
  </si>
  <si>
    <t>freq5</t>
  </si>
  <si>
    <t>SELECIONE A MEDIDA:</t>
  </si>
  <si>
    <t>SELECIONE OPERAÇÃO:</t>
  </si>
  <si>
    <t>RESULTADO:</t>
  </si>
  <si>
    <t>Subtotal</t>
  </si>
  <si>
    <t>Num</t>
  </si>
  <si>
    <t>Média</t>
  </si>
  <si>
    <t>Contar Núm</t>
  </si>
  <si>
    <t>Máx</t>
  </si>
  <si>
    <t>Mín</t>
  </si>
  <si>
    <t>Desvio Padrão</t>
  </si>
  <si>
    <t>Desvio Padrão P</t>
  </si>
  <si>
    <t>Soma</t>
  </si>
  <si>
    <t>Variância</t>
  </si>
  <si>
    <t>Variância P</t>
  </si>
  <si>
    <t>GRÁFICO (HISTOGRAMA):</t>
  </si>
  <si>
    <t>TABELA DO PARETO:</t>
  </si>
  <si>
    <t>Muito pontudo</t>
  </si>
  <si>
    <t>Rebarba</t>
  </si>
  <si>
    <t>Sem rosca</t>
  </si>
  <si>
    <t>Rosca ruim</t>
  </si>
  <si>
    <t>outros</t>
  </si>
  <si>
    <t>Desc.</t>
  </si>
  <si>
    <t>Quant.</t>
  </si>
  <si>
    <t>Retrabalhos</t>
  </si>
  <si>
    <t>REFERÊNCIAS:</t>
  </si>
  <si>
    <t>INTERVALO 1</t>
  </si>
  <si>
    <t>INTERVALO 2</t>
  </si>
  <si>
    <t>INTERVALO 3</t>
  </si>
  <si>
    <t>INTERVALO 4</t>
  </si>
  <si>
    <t>INTERVALO 5</t>
  </si>
  <si>
    <t>A</t>
  </si>
  <si>
    <t>B</t>
  </si>
  <si>
    <t>C</t>
  </si>
  <si>
    <t>*PROBLEMAS DE QUALIDADE &amp; PROCESSO</t>
  </si>
  <si>
    <t>*CONCEITOS DE HISTOGRAMA, PARETO</t>
  </si>
  <si>
    <t>*UTILIZAÇÃO DE SUBTOTAL, ITENS DE FORMULÁRIO, PROCURA, ENTRE OUTROS</t>
  </si>
  <si>
    <t>Case:</t>
  </si>
  <si>
    <t>GRÁFICO (PARETO):</t>
  </si>
  <si>
    <t>TABELA DO GRÁFICO</t>
  </si>
  <si>
    <t>valor</t>
  </si>
  <si>
    <t>% acum.</t>
  </si>
  <si>
    <t>Super Exercício #4</t>
  </si>
  <si>
    <t>&gt;&gt;&gt; EXERCÍCIOS &lt;&lt;&lt;</t>
  </si>
  <si>
    <t>Tipo de retrabalho</t>
  </si>
  <si>
    <t>cod. da amostra</t>
  </si>
  <si>
    <t>Medida A</t>
  </si>
  <si>
    <t>Medida B</t>
  </si>
  <si>
    <t>Medida C</t>
  </si>
  <si>
    <t>GRÁFICO (COLUNAS):</t>
  </si>
  <si>
    <t>A equipe de qualidade precisa entender melhor o processo de produção de parafusos para tomar decisões. O time de processos disponibilizou uma planilha com várias amostras, e com 3 medidas (A,B, e C). A partir disso, faz-se necessário:
- Abaixo da tabela de dados, tem-se 5 intervalos. Seu objetivo e determinar quantas peças foram produzidas entre os ranges de frequência fornecedos. Ex: Quantas peças produzidas entre 64,9 e 65,29 (intervalo 1), quantas produzidas entre 65,29 e 65,68 (intervalo 2), para cada medida. A partir deles, criar 1 gráfico de barras que varia de acordo com a medida escolhida (A, B e C). Dica: talvez seja necessário fazer uma tabela auxiliar; 
- criar um botão de formulário que possui as 3 medidas (A, B e C), para que o usuário possa selecionar qual medida ele deseja ver no gráfico de colunas; 
- o usuário pode selecionar (através de uma lista) qual operação ele gostaria de ver dos dados, média, soma, máximo... E aparecerá para ele o resultado em outra célula;
- criar um gráfico de pareto dos retrabalhos.</t>
  </si>
  <si>
    <t>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</si>
</sst>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1"/>
      <color rgb="FFE45286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E45286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rgb="FF223686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3" borderId="9" xfId="0" applyFill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6" borderId="9" xfId="0" applyFill="1" applyBorder="1"/>
    <xf numFmtId="0" fontId="0" fillId="2" borderId="9" xfId="0" applyFill="1" applyBorder="1" applyAlignment="1">
      <alignment horizontal="center"/>
    </xf>
    <xf numFmtId="0" fontId="0" fillId="7" borderId="9" xfId="0" applyFill="1" applyBorder="1"/>
    <xf numFmtId="0" fontId="0" fillId="0" borderId="1" xfId="0" applyBorder="1"/>
    <xf numFmtId="0" fontId="0" fillId="4" borderId="9" xfId="0" applyFill="1" applyBorder="1" applyAlignment="1">
      <alignment horizontal="center"/>
    </xf>
    <xf numFmtId="0" fontId="3" fillId="0" borderId="0" xfId="0" applyFont="1"/>
    <xf numFmtId="1" fontId="0" fillId="0" borderId="9" xfId="0" applyNumberFormat="1" applyFill="1" applyBorder="1" applyAlignment="1">
      <alignment horizontal="center"/>
    </xf>
    <xf numFmtId="0" fontId="0" fillId="5" borderId="9" xfId="0" applyFill="1" applyBorder="1"/>
    <xf numFmtId="0" fontId="6" fillId="2" borderId="9" xfId="0" applyFont="1" applyFill="1" applyBorder="1"/>
    <xf numFmtId="0" fontId="0" fillId="7" borderId="9" xfId="0" applyFill="1" applyBorder="1" applyAlignment="1">
      <alignment horizontal="center"/>
    </xf>
    <xf numFmtId="9" fontId="0" fillId="4" borderId="9" xfId="1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9" fillId="3" borderId="19" xfId="0" applyFont="1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0" xfId="0" applyFill="1" applyBorder="1"/>
    <xf numFmtId="0" fontId="0" fillId="3" borderId="24" xfId="0" applyFill="1" applyBorder="1"/>
    <xf numFmtId="0" fontId="0" fillId="3" borderId="22" xfId="0" applyFill="1" applyBorder="1"/>
    <xf numFmtId="0" fontId="0" fillId="3" borderId="18" xfId="0" applyFill="1" applyBorder="1"/>
    <xf numFmtId="0" fontId="0" fillId="3" borderId="25" xfId="0" applyFill="1" applyBorder="1"/>
    <xf numFmtId="0" fontId="11" fillId="3" borderId="21" xfId="0" applyFont="1" applyFill="1" applyBorder="1"/>
    <xf numFmtId="0" fontId="11" fillId="3" borderId="22" xfId="0" applyFont="1" applyFill="1" applyBorder="1"/>
    <xf numFmtId="0" fontId="12" fillId="0" borderId="0" xfId="0" applyFont="1"/>
    <xf numFmtId="0" fontId="1" fillId="3" borderId="19" xfId="0" applyFont="1" applyFill="1" applyBorder="1"/>
    <xf numFmtId="0" fontId="7" fillId="8" borderId="26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0" borderId="19" xfId="0" applyBorder="1"/>
    <xf numFmtId="0" fontId="13" fillId="0" borderId="0" xfId="0" applyFont="1"/>
    <xf numFmtId="0" fontId="0" fillId="0" borderId="26" xfId="0" applyBorder="1"/>
    <xf numFmtId="0" fontId="10" fillId="0" borderId="9" xfId="0" applyFont="1" applyBorder="1" applyAlignment="1">
      <alignment horizontal="center"/>
    </xf>
    <xf numFmtId="1" fontId="10" fillId="0" borderId="9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right"/>
    </xf>
    <xf numFmtId="0" fontId="7" fillId="8" borderId="26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right"/>
    </xf>
    <xf numFmtId="0" fontId="7" fillId="9" borderId="9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0" fillId="5" borderId="30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2" fontId="0" fillId="0" borderId="38" xfId="0" applyNumberFormat="1" applyFill="1" applyBorder="1" applyAlignment="1">
      <alignment horizontal="center"/>
    </xf>
    <xf numFmtId="0" fontId="14" fillId="9" borderId="0" xfId="0" applyFont="1" applyFill="1" applyBorder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223686"/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Produção por intervalo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EXERCÍCIO!$C$96</c:f>
              <c:strCache>
                <c:ptCount val="1"/>
                <c:pt idx="0">
                  <c:v>C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EXERCÍCIO!$B$97:$B$101</c:f>
              <c:strCache>
                <c:ptCount val="5"/>
                <c:pt idx="0">
                  <c:v>INTERVALO 1</c:v>
                </c:pt>
                <c:pt idx="1">
                  <c:v>INTERVALO 2</c:v>
                </c:pt>
                <c:pt idx="2">
                  <c:v>INTERVALO 3</c:v>
                </c:pt>
                <c:pt idx="3">
                  <c:v>INTERVALO 4</c:v>
                </c:pt>
                <c:pt idx="4">
                  <c:v>INTERVALO 5</c:v>
                </c:pt>
              </c:strCache>
            </c:strRef>
          </c:cat>
          <c:val>
            <c:numRef>
              <c:f>EXERCÍCIO!$C$97:$C$101</c:f>
              <c:numCache>
                <c:formatCode>0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F-425B-A285-00C3E54778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366969400"/>
        <c:axId val="366970056"/>
      </c:barChart>
      <c:catAx>
        <c:axId val="36696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970056"/>
        <c:crosses val="autoZero"/>
        <c:auto val="1"/>
        <c:lblAlgn val="ctr"/>
        <c:lblOffset val="100"/>
        <c:noMultiLvlLbl val="0"/>
      </c:catAx>
      <c:valAx>
        <c:axId val="366970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96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_xlchart.3</cx:f>
      </cx:strDim>
      <cx:numDim type="val">
        <cx:f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pt-BR"/>
              <a:t>Priorização de Retrabalhos</a:t>
            </a:r>
          </a:p>
        </cx:rich>
      </cx:tx>
    </cx:title>
    <cx:plotArea>
      <cx:plotAreaRegion>
        <cx:series layoutId="clusteredColumn" uniqueId="{68214547-BC38-4AD4-A8BF-559983597FDA}">
          <cx:tx>
            <cx:txData>
              <cx:f>_xlchart.4</cx:f>
              <cx:v>Quant.</cx:v>
            </cx:txData>
          </cx:tx>
          <cx:dataId val="0"/>
          <cx:layoutPr>
            <cx:aggregation/>
          </cx:layoutPr>
          <cx:axisId val="1"/>
        </cx:series>
        <cx:series layoutId="paretoLine" ownerIdx="0" uniqueId="{A4BD687A-F3DF-405F-980C-AABE575C5440}">
          <cx:axisId val="2"/>
        </cx:series>
      </cx:plotAreaRegion>
      <cx:axis id="0">
        <cx:catScaling gapWidth="1.5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'EXERCÍCIO-RESOLVIDO'!$C$94</c:f>
              <c:strCache>
                <c:ptCount val="1"/>
                <c:pt idx="0">
                  <c:v>valor</c:v>
                </c:pt>
              </c:strCache>
            </c:strRef>
          </c:tx>
          <c:invertIfNegative val="0"/>
          <c:cat>
            <c:strRef>
              <c:f>'EXERCÍCIO-RESOLVIDO'!$B$95:$B$99</c:f>
              <c:strCache>
                <c:ptCount val="5"/>
                <c:pt idx="0">
                  <c:v>INTERVALO 1</c:v>
                </c:pt>
                <c:pt idx="1">
                  <c:v>INTERVALO 2</c:v>
                </c:pt>
                <c:pt idx="2">
                  <c:v>INTERVALO 3</c:v>
                </c:pt>
                <c:pt idx="3">
                  <c:v>INTERVALO 4</c:v>
                </c:pt>
                <c:pt idx="4">
                  <c:v>INTERVALO 5</c:v>
                </c:pt>
              </c:strCache>
            </c:strRef>
          </c:cat>
          <c:val>
            <c:numRef>
              <c:f>'EXERCÍCIO-RESOLVIDO'!$C$95:$C$99</c:f>
              <c:numCache>
                <c:formatCode>0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7-4866-8D0F-4129A29E6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482624"/>
        <c:axId val="242894528"/>
      </c:barChart>
      <c:catAx>
        <c:axId val="17948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2700000"/>
          <a:lstStyle/>
          <a:p>
            <a:pPr>
              <a:defRPr/>
            </a:pPr>
            <a:endParaRPr lang="pt-BR"/>
          </a:p>
        </c:txPr>
        <c:crossAx val="242894528"/>
        <c:crosses val="autoZero"/>
        <c:auto val="1"/>
        <c:lblAlgn val="ctr"/>
        <c:lblOffset val="100"/>
        <c:noMultiLvlLbl val="0"/>
      </c:catAx>
      <c:valAx>
        <c:axId val="2428945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9482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'EXERCÍCIO-RESOLVIDO'!$J$61</c:f>
              <c:strCache>
                <c:ptCount val="1"/>
                <c:pt idx="0">
                  <c:v>Quant.</c:v>
                </c:pt>
              </c:strCache>
            </c:strRef>
          </c:tx>
          <c:invertIfNegative val="0"/>
          <c:cat>
            <c:strRef>
              <c:f>'EXERCÍCIO-RESOLVIDO'!$I$62:$I$66</c:f>
              <c:strCache>
                <c:ptCount val="5"/>
                <c:pt idx="0">
                  <c:v>Muito pontudo</c:v>
                </c:pt>
                <c:pt idx="1">
                  <c:v>Rebarba</c:v>
                </c:pt>
                <c:pt idx="2">
                  <c:v>Sem rosca</c:v>
                </c:pt>
                <c:pt idx="3">
                  <c:v>Rosca ruim</c:v>
                </c:pt>
                <c:pt idx="4">
                  <c:v>outros</c:v>
                </c:pt>
              </c:strCache>
            </c:strRef>
          </c:cat>
          <c:val>
            <c:numRef>
              <c:f>'EXERCÍCIO-RESOLVIDO'!$J$62:$J$66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E-4E35-8962-1A94BEE65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94112"/>
        <c:axId val="82057984"/>
      </c:barChart>
      <c:lineChart>
        <c:grouping val="standard"/>
        <c:varyColors val="0"/>
        <c:ser>
          <c:idx val="1"/>
          <c:order val="1"/>
          <c:tx>
            <c:strRef>
              <c:f>'EXERCÍCIO-RESOLVIDO'!$K$61</c:f>
              <c:strCache>
                <c:ptCount val="1"/>
                <c:pt idx="0">
                  <c:v>% acum.</c:v>
                </c:pt>
              </c:strCache>
            </c:strRef>
          </c:tx>
          <c:marker>
            <c:symbol val="square"/>
            <c:size val="4"/>
          </c:marker>
          <c:cat>
            <c:strRef>
              <c:f>'EXERCÍCIO-RESOLVIDO'!$I$62:$I$66</c:f>
              <c:strCache>
                <c:ptCount val="5"/>
                <c:pt idx="0">
                  <c:v>Muito pontudo</c:v>
                </c:pt>
                <c:pt idx="1">
                  <c:v>Rebarba</c:v>
                </c:pt>
                <c:pt idx="2">
                  <c:v>Sem rosca</c:v>
                </c:pt>
                <c:pt idx="3">
                  <c:v>Rosca ruim</c:v>
                </c:pt>
                <c:pt idx="4">
                  <c:v>outros</c:v>
                </c:pt>
              </c:strCache>
            </c:strRef>
          </c:cat>
          <c:val>
            <c:numRef>
              <c:f>'EXERCÍCIO-RESOLVIDO'!$K$62:$K$66</c:f>
              <c:numCache>
                <c:formatCode>0%</c:formatCode>
                <c:ptCount val="5"/>
                <c:pt idx="0">
                  <c:v>0.26666666666666666</c:v>
                </c:pt>
                <c:pt idx="1">
                  <c:v>0.51111111111111107</c:v>
                </c:pt>
                <c:pt idx="2">
                  <c:v>0.75555555555555554</c:v>
                </c:pt>
                <c:pt idx="3">
                  <c:v>0.97777777777777775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8E-4E35-8962-1A94BEE65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316416"/>
        <c:axId val="242672768"/>
      </c:lineChart>
      <c:catAx>
        <c:axId val="53594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2057984"/>
        <c:crosses val="autoZero"/>
        <c:auto val="1"/>
        <c:lblAlgn val="ctr"/>
        <c:lblOffset val="100"/>
        <c:noMultiLvlLbl val="0"/>
      </c:catAx>
      <c:valAx>
        <c:axId val="82057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594112"/>
        <c:crosses val="autoZero"/>
        <c:crossBetween val="between"/>
      </c:valAx>
      <c:valAx>
        <c:axId val="24267276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240316416"/>
        <c:crosses val="max"/>
        <c:crossBetween val="between"/>
      </c:valAx>
      <c:catAx>
        <c:axId val="240316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2672768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Style="combo" dx="16" fmlaLink="$L$37" fmlaRange="$S$26:$S$28" sel="3" val="0"/>
</file>

<file path=xl/ctrlProps/ctrlProp2.xml><?xml version="1.0" encoding="utf-8"?>
<formControlPr xmlns="http://schemas.microsoft.com/office/spreadsheetml/2009/9/main" objectType="List" dx="16" fmlaLink="$H$38" fmlaRange="$S$28:$S$30" noThreeD="1" sel="3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5.jpeg"/><Relationship Id="rId7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6" Type="http://schemas.openxmlformats.org/officeDocument/2006/relationships/hyperlink" Target="https://dinamicatreinamentos.com/" TargetMode="External"/><Relationship Id="rId5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chart" Target="../charts/chart4.xml"/><Relationship Id="rId2" Type="http://schemas.openxmlformats.org/officeDocument/2006/relationships/image" Target="../media/image3.jpeg"/><Relationship Id="rId1" Type="http://schemas.openxmlformats.org/officeDocument/2006/relationships/image" Target="../media/image7.png"/><Relationship Id="rId6" Type="http://schemas.openxmlformats.org/officeDocument/2006/relationships/chart" Target="../charts/chart3.xml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21</xdr:row>
      <xdr:rowOff>152400</xdr:rowOff>
    </xdr:from>
    <xdr:to>
      <xdr:col>11</xdr:col>
      <xdr:colOff>623888</xdr:colOff>
      <xdr:row>35</xdr:row>
      <xdr:rowOff>66675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4572000" y="4171950"/>
          <a:ext cx="3814763" cy="2771775"/>
          <a:chOff x="6505575" y="2286000"/>
          <a:chExt cx="3462338" cy="2143125"/>
        </a:xfrm>
      </xdr:grpSpPr>
      <xdr:pic>
        <xdr:nvPicPr>
          <xdr:cNvPr id="3" name="Picture 3" descr="http://www.rebipar.com/imagens/Parafusos%20e%20Porcas/Parafuso%20Sextavado%20Soberba.jp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6743700" y="2286000"/>
            <a:ext cx="3224213" cy="2143125"/>
          </a:xfrm>
          <a:prstGeom prst="rect">
            <a:avLst/>
          </a:prstGeom>
          <a:noFill/>
        </xdr:spPr>
      </xdr:pic>
      <xdr:cxnSp macro="">
        <xdr:nvCxnSpPr>
          <xdr:cNvPr id="4" name="Conector de seta reta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 flipV="1">
            <a:off x="7131844" y="3886201"/>
            <a:ext cx="2552700" cy="9525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de seta reta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CxnSpPr/>
        </xdr:nvCxnSpPr>
        <xdr:spPr>
          <a:xfrm rot="16200000" flipH="1">
            <a:off x="6569869" y="3305175"/>
            <a:ext cx="695325" cy="9525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de seta reta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CxnSpPr/>
        </xdr:nvCxnSpPr>
        <xdr:spPr>
          <a:xfrm flipV="1">
            <a:off x="7350919" y="3028951"/>
            <a:ext cx="654844" cy="9525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7424013" y="2799958"/>
            <a:ext cx="495300" cy="178323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E4528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pt-BR" sz="1100">
                <a:solidFill>
                  <a:srgbClr val="0070C0"/>
                </a:solidFill>
              </a:rPr>
              <a:t>B</a:t>
            </a: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8101271" y="3924301"/>
            <a:ext cx="495300" cy="188143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E4528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pt-BR" sz="1100">
                <a:solidFill>
                  <a:srgbClr val="0070C0"/>
                </a:solidFill>
              </a:rPr>
              <a:t>A</a:t>
            </a: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6505575" y="3200401"/>
            <a:ext cx="369094" cy="18293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E45286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pt-BR" sz="1100">
                <a:solidFill>
                  <a:srgbClr val="0070C0"/>
                </a:solidFill>
              </a:rPr>
              <a:t>C</a:t>
            </a:r>
          </a:p>
        </xdr:txBody>
      </xdr:sp>
    </xdr:grpSp>
    <xdr:clientData/>
  </xdr:twoCellAnchor>
  <xdr:twoCellAnchor editAs="oneCell">
    <xdr:from>
      <xdr:col>13</xdr:col>
      <xdr:colOff>19050</xdr:colOff>
      <xdr:row>27</xdr:row>
      <xdr:rowOff>76201</xdr:rowOff>
    </xdr:from>
    <xdr:to>
      <xdr:col>15</xdr:col>
      <xdr:colOff>776287</xdr:colOff>
      <xdr:row>36</xdr:row>
      <xdr:rowOff>9495</xdr:rowOff>
    </xdr:to>
    <xdr:pic>
      <xdr:nvPicPr>
        <xdr:cNvPr id="11" name="Picture 1" descr="https://linux.ime.usp.br/~cef/mac499-03/monografias/feals/Histograma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10700" y="1790701"/>
          <a:ext cx="2386012" cy="1647794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182765</xdr:colOff>
      <xdr:row>48</xdr:row>
      <xdr:rowOff>114301</xdr:rowOff>
    </xdr:from>
    <xdr:to>
      <xdr:col>16</xdr:col>
      <xdr:colOff>481013</xdr:colOff>
      <xdr:row>57</xdr:row>
      <xdr:rowOff>47626</xdr:rowOff>
    </xdr:to>
    <xdr:pic>
      <xdr:nvPicPr>
        <xdr:cNvPr id="12" name="Picture 2" descr="http://www4.asq.org/blogs/statistics/Images/Pareto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74415" y="5829301"/>
          <a:ext cx="2784273" cy="1657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619125</xdr:colOff>
      <xdr:row>7</xdr:row>
      <xdr:rowOff>20569</xdr:rowOff>
    </xdr:from>
    <xdr:to>
      <xdr:col>8</xdr:col>
      <xdr:colOff>0</xdr:colOff>
      <xdr:row>20</xdr:row>
      <xdr:rowOff>171299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" y="1373119"/>
          <a:ext cx="4629150" cy="2627230"/>
        </a:xfrm>
        <a:prstGeom prst="rect">
          <a:avLst/>
        </a:prstGeom>
      </xdr:spPr>
    </xdr:pic>
    <xdr:clientData/>
  </xdr:twoCellAnchor>
  <xdr:oneCellAnchor>
    <xdr:from>
      <xdr:col>6</xdr:col>
      <xdr:colOff>447675</xdr:colOff>
      <xdr:row>4</xdr:row>
      <xdr:rowOff>66675</xdr:rowOff>
    </xdr:from>
    <xdr:ext cx="3200000" cy="257143"/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5720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16" name="Imagem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857250</xdr:colOff>
          <xdr:row>36</xdr:row>
          <xdr:rowOff>0</xdr:rowOff>
        </xdr:from>
        <xdr:to>
          <xdr:col>10</xdr:col>
          <xdr:colOff>238125</xdr:colOff>
          <xdr:row>37</xdr:row>
          <xdr:rowOff>9525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19050</xdr:colOff>
      <xdr:row>49</xdr:row>
      <xdr:rowOff>9525</xdr:rowOff>
    </xdr:from>
    <xdr:to>
      <xdr:col>11</xdr:col>
      <xdr:colOff>685800</xdr:colOff>
      <xdr:row>57</xdr:row>
      <xdr:rowOff>114300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28575</xdr:colOff>
      <xdr:row>68</xdr:row>
      <xdr:rowOff>19050</xdr:rowOff>
    </xdr:from>
    <xdr:to>
      <xdr:col>11</xdr:col>
      <xdr:colOff>685800</xdr:colOff>
      <xdr:row>76</xdr:row>
      <xdr:rowOff>152400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7" name="Gráfico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3</xdr:col>
      <xdr:colOff>634001</xdr:colOff>
      <xdr:row>5</xdr:row>
      <xdr:rowOff>28575</xdr:rowOff>
    </xdr:to>
    <xdr:pic>
      <xdr:nvPicPr>
        <xdr:cNvPr id="2" name="Imagem 1" descr="LOGO.b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371475"/>
          <a:ext cx="2138951" cy="609600"/>
        </a:xfrm>
        <a:prstGeom prst="rect">
          <a:avLst/>
        </a:prstGeom>
      </xdr:spPr>
    </xdr:pic>
    <xdr:clientData/>
  </xdr:twoCellAnchor>
  <xdr:twoCellAnchor>
    <xdr:from>
      <xdr:col>6</xdr:col>
      <xdr:colOff>485775</xdr:colOff>
      <xdr:row>21</xdr:row>
      <xdr:rowOff>152400</xdr:rowOff>
    </xdr:from>
    <xdr:to>
      <xdr:col>11</xdr:col>
      <xdr:colOff>623888</xdr:colOff>
      <xdr:row>35</xdr:row>
      <xdr:rowOff>66675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4610100" y="4152900"/>
          <a:ext cx="3814763" cy="2581275"/>
          <a:chOff x="6505575" y="2286000"/>
          <a:chExt cx="3462338" cy="2143125"/>
        </a:xfrm>
      </xdr:grpSpPr>
      <xdr:pic>
        <xdr:nvPicPr>
          <xdr:cNvPr id="4" name="Picture 3" descr="http://www.rebipar.com/imagens/Parafusos%20e%20Porcas/Parafuso%20Sextavado%20Soberba.jpg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6743700" y="2286000"/>
            <a:ext cx="3224213" cy="2143125"/>
          </a:xfrm>
          <a:prstGeom prst="rect">
            <a:avLst/>
          </a:prstGeom>
          <a:noFill/>
        </xdr:spPr>
      </xdr:pic>
      <xdr:cxnSp macro="">
        <xdr:nvCxnSpPr>
          <xdr:cNvPr id="5" name="Conector de seta reta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CxnSpPr/>
        </xdr:nvCxnSpPr>
        <xdr:spPr>
          <a:xfrm flipV="1">
            <a:off x="7131844" y="3886201"/>
            <a:ext cx="2552700" cy="9525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de seta reta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/>
        </xdr:nvCxnSpPr>
        <xdr:spPr>
          <a:xfrm rot="16200000" flipH="1">
            <a:off x="6569869" y="3305175"/>
            <a:ext cx="695325" cy="9525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de seta reta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/>
        </xdr:nvCxnSpPr>
        <xdr:spPr>
          <a:xfrm flipV="1">
            <a:off x="7350919" y="3028951"/>
            <a:ext cx="654844" cy="9525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7510463" y="2733676"/>
            <a:ext cx="49530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pt-BR" sz="1100"/>
              <a:t>B</a:t>
            </a: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8127206" y="3924301"/>
            <a:ext cx="49530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pt-BR" sz="1100"/>
              <a:t>A</a:t>
            </a:r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6505575" y="3200401"/>
            <a:ext cx="369094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pt-BR" sz="1100"/>
              <a:t>C</a:t>
            </a:r>
          </a:p>
        </xdr:txBody>
      </xdr:sp>
    </xdr:grpSp>
    <xdr:clientData/>
  </xdr:twoCellAnchor>
  <xdr:twoCellAnchor editAs="oneCell">
    <xdr:from>
      <xdr:col>13</xdr:col>
      <xdr:colOff>19050</xdr:colOff>
      <xdr:row>27</xdr:row>
      <xdr:rowOff>76201</xdr:rowOff>
    </xdr:from>
    <xdr:to>
      <xdr:col>15</xdr:col>
      <xdr:colOff>776287</xdr:colOff>
      <xdr:row>36</xdr:row>
      <xdr:rowOff>9495</xdr:rowOff>
    </xdr:to>
    <xdr:pic>
      <xdr:nvPicPr>
        <xdr:cNvPr id="11" name="Picture 1" descr="https://linux.ime.usp.br/~cef/mac499-03/monografias/feals/Histograma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34475" y="5219701"/>
          <a:ext cx="2386012" cy="1647794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182765</xdr:colOff>
      <xdr:row>48</xdr:row>
      <xdr:rowOff>114301</xdr:rowOff>
    </xdr:from>
    <xdr:to>
      <xdr:col>16</xdr:col>
      <xdr:colOff>481013</xdr:colOff>
      <xdr:row>57</xdr:row>
      <xdr:rowOff>57151</xdr:rowOff>
    </xdr:to>
    <xdr:pic>
      <xdr:nvPicPr>
        <xdr:cNvPr id="12" name="Picture 2" descr="http://www4.asq.org/blogs/statistics/Images/Pareto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298190" y="9258301"/>
          <a:ext cx="2784273" cy="165735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561975</xdr:colOff>
          <xdr:row>36</xdr:row>
          <xdr:rowOff>47625</xdr:rowOff>
        </xdr:from>
        <xdr:to>
          <xdr:col>10</xdr:col>
          <xdr:colOff>152400</xdr:colOff>
          <xdr:row>38</xdr:row>
          <xdr:rowOff>95250</xdr:rowOff>
        </xdr:to>
        <xdr:sp macro="" textlink="">
          <xdr:nvSpPr>
            <xdr:cNvPr id="3073" name="List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542925</xdr:colOff>
      <xdr:row>7</xdr:row>
      <xdr:rowOff>96769</xdr:rowOff>
    </xdr:from>
    <xdr:to>
      <xdr:col>7</xdr:col>
      <xdr:colOff>671094</xdr:colOff>
      <xdr:row>21</xdr:row>
      <xdr:rowOff>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6300" y="1430269"/>
          <a:ext cx="4528719" cy="2570231"/>
        </a:xfrm>
        <a:prstGeom prst="rect">
          <a:avLst/>
        </a:prstGeom>
      </xdr:spPr>
    </xdr:pic>
    <xdr:clientData/>
  </xdr:twoCellAnchor>
  <xdr:twoCellAnchor>
    <xdr:from>
      <xdr:col>6</xdr:col>
      <xdr:colOff>581025</xdr:colOff>
      <xdr:row>48</xdr:row>
      <xdr:rowOff>171451</xdr:rowOff>
    </xdr:from>
    <xdr:to>
      <xdr:col>12</xdr:col>
      <xdr:colOff>219074</xdr:colOff>
      <xdr:row>58</xdr:row>
      <xdr:rowOff>142874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571500</xdr:colOff>
      <xdr:row>67</xdr:row>
      <xdr:rowOff>180974</xdr:rowOff>
    </xdr:from>
    <xdr:to>
      <xdr:col>12</xdr:col>
      <xdr:colOff>0</xdr:colOff>
      <xdr:row>80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2"/>
  <sheetViews>
    <sheetView showGridLines="0" workbookViewId="0">
      <selection activeCell="R10" sqref="R10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60" t="s">
        <v>53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</row>
    <row r="3" spans="2:17" ht="15" customHeight="1" x14ac:dyDescent="0.25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5"/>
    </row>
    <row r="4" spans="2:17" ht="15" customHeight="1" x14ac:dyDescent="0.25">
      <c r="B4" s="63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</row>
    <row r="5" spans="2:17" ht="15" customHeight="1" x14ac:dyDescent="0.25">
      <c r="B5" s="63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5"/>
    </row>
    <row r="6" spans="2:17" ht="15" customHeight="1" x14ac:dyDescent="0.25">
      <c r="B6" s="6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8"/>
    </row>
    <row r="7" spans="2:17" ht="15.75" thickBot="1" x14ac:dyDescent="0.3"/>
    <row r="8" spans="2:17" x14ac:dyDescent="0.25">
      <c r="B8" s="33" t="s">
        <v>54</v>
      </c>
      <c r="C8" s="34"/>
      <c r="D8" s="34"/>
      <c r="E8" s="34"/>
      <c r="F8" s="34"/>
      <c r="G8" s="34"/>
      <c r="H8" s="34"/>
      <c r="I8" s="34"/>
      <c r="J8" s="35"/>
    </row>
    <row r="9" spans="2:17" x14ac:dyDescent="0.25">
      <c r="B9" s="42" t="s">
        <v>45</v>
      </c>
      <c r="C9" s="37"/>
      <c r="D9" s="37"/>
      <c r="E9" s="37"/>
      <c r="F9" s="37"/>
      <c r="G9" s="37"/>
      <c r="H9" s="37"/>
      <c r="I9" s="37"/>
      <c r="J9" s="38"/>
    </row>
    <row r="10" spans="2:17" x14ac:dyDescent="0.25">
      <c r="B10" s="42" t="s">
        <v>46</v>
      </c>
      <c r="C10" s="37"/>
      <c r="D10" s="37"/>
      <c r="E10" s="37"/>
      <c r="F10" s="37"/>
      <c r="G10" s="37"/>
      <c r="H10" s="37"/>
      <c r="I10" s="37"/>
      <c r="J10" s="38"/>
    </row>
    <row r="11" spans="2:17" x14ac:dyDescent="0.25">
      <c r="B11" s="43" t="s">
        <v>47</v>
      </c>
      <c r="C11" s="40"/>
      <c r="D11" s="40"/>
      <c r="E11" s="40"/>
      <c r="F11" s="40"/>
      <c r="G11" s="40"/>
      <c r="H11" s="40"/>
      <c r="I11" s="40"/>
      <c r="J11" s="41"/>
    </row>
    <row r="13" spans="2:17" x14ac:dyDescent="0.25">
      <c r="B13" s="69" t="s">
        <v>61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1"/>
    </row>
    <row r="14" spans="2:17" x14ac:dyDescent="0.25"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4"/>
    </row>
    <row r="15" spans="2:17" x14ac:dyDescent="0.25">
      <c r="B15" s="72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4"/>
    </row>
    <row r="16" spans="2:17" x14ac:dyDescent="0.25">
      <c r="B16" s="72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4"/>
    </row>
    <row r="17" spans="2:17" x14ac:dyDescent="0.25">
      <c r="B17" s="72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</row>
    <row r="18" spans="2:17" x14ac:dyDescent="0.25"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/>
    </row>
    <row r="19" spans="2:17" x14ac:dyDescent="0.25"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</row>
    <row r="20" spans="2:17" x14ac:dyDescent="0.2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4"/>
    </row>
    <row r="21" spans="2:17" ht="31.5" customHeight="1" x14ac:dyDescent="0.25">
      <c r="B21" s="75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</row>
    <row r="22" spans="2:17" x14ac:dyDescent="0.25">
      <c r="B22" s="44"/>
    </row>
  </sheetData>
  <mergeCells count="2">
    <mergeCell ref="B2:Q6"/>
    <mergeCell ref="B13:Q2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101"/>
  <sheetViews>
    <sheetView showGridLines="0" tabSelected="1" workbookViewId="0">
      <selection activeCell="M10" sqref="M10"/>
    </sheetView>
  </sheetViews>
  <sheetFormatPr defaultRowHeight="15" x14ac:dyDescent="0.25"/>
  <cols>
    <col min="1" max="1" width="5" customWidth="1"/>
    <col min="2" max="2" width="15.140625" bestFit="1" customWidth="1"/>
    <col min="3" max="3" width="9.5703125" bestFit="1" customWidth="1"/>
    <col min="4" max="5" width="9.42578125" bestFit="1" customWidth="1"/>
    <col min="6" max="6" width="12.7109375" customWidth="1"/>
    <col min="8" max="8" width="13.28515625" bestFit="1" customWidth="1"/>
    <col min="9" max="9" width="14.42578125" bestFit="1" customWidth="1"/>
    <col min="12" max="12" width="10.5703125" bestFit="1" customWidth="1"/>
    <col min="15" max="15" width="15.28515625" bestFit="1" customWidth="1"/>
    <col min="16" max="16" width="12.85546875" customWidth="1"/>
  </cols>
  <sheetData>
    <row r="1" spans="2:17" ht="15.75" thickBot="1" x14ac:dyDescent="0.3"/>
    <row r="2" spans="2:17" ht="15" customHeight="1" x14ac:dyDescent="0.25">
      <c r="B2" s="60" t="s">
        <v>53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</row>
    <row r="3" spans="2:17" ht="15" customHeight="1" x14ac:dyDescent="0.25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5"/>
    </row>
    <row r="4" spans="2:17" ht="15" customHeight="1" x14ac:dyDescent="0.25">
      <c r="B4" s="63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</row>
    <row r="5" spans="2:17" ht="15" customHeight="1" x14ac:dyDescent="0.25">
      <c r="B5" s="63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5"/>
    </row>
    <row r="6" spans="2:17" ht="15" customHeight="1" x14ac:dyDescent="0.25">
      <c r="B6" s="6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8"/>
    </row>
    <row r="7" spans="2:17" ht="15.75" thickBot="1" x14ac:dyDescent="0.3"/>
    <row r="8" spans="2:17" x14ac:dyDescent="0.25">
      <c r="B8" s="45" t="s">
        <v>48</v>
      </c>
      <c r="C8" s="26"/>
      <c r="D8" s="26"/>
      <c r="E8" s="26"/>
      <c r="F8" s="26"/>
      <c r="G8" s="26"/>
      <c r="H8" s="30"/>
    </row>
    <row r="9" spans="2:17" x14ac:dyDescent="0.25">
      <c r="B9" s="36"/>
      <c r="C9" s="3"/>
      <c r="D9" s="3"/>
      <c r="E9" s="3"/>
      <c r="F9" s="3"/>
      <c r="G9" s="3"/>
      <c r="H9" s="31"/>
    </row>
    <row r="10" spans="2:17" x14ac:dyDescent="0.25">
      <c r="B10" s="36"/>
      <c r="C10" s="3"/>
      <c r="D10" s="3"/>
      <c r="E10" s="3"/>
      <c r="F10" s="3"/>
      <c r="G10" s="3"/>
      <c r="H10" s="31"/>
    </row>
    <row r="11" spans="2:17" x14ac:dyDescent="0.25">
      <c r="B11" s="36"/>
      <c r="C11" s="3"/>
      <c r="D11" s="3"/>
      <c r="E11" s="3"/>
      <c r="F11" s="3"/>
      <c r="G11" s="3"/>
      <c r="H11" s="31"/>
    </row>
    <row r="12" spans="2:17" x14ac:dyDescent="0.25">
      <c r="B12" s="36"/>
      <c r="C12" s="3"/>
      <c r="D12" s="3"/>
      <c r="E12" s="3"/>
      <c r="F12" s="3"/>
      <c r="G12" s="3"/>
      <c r="H12" s="31"/>
    </row>
    <row r="13" spans="2:17" x14ac:dyDescent="0.25">
      <c r="B13" s="36"/>
      <c r="C13" s="3"/>
      <c r="D13" s="3"/>
      <c r="E13" s="3"/>
      <c r="F13" s="3"/>
      <c r="G13" s="3"/>
      <c r="H13" s="31"/>
    </row>
    <row r="14" spans="2:17" x14ac:dyDescent="0.25">
      <c r="B14" s="36"/>
      <c r="C14" s="3"/>
      <c r="D14" s="3"/>
      <c r="E14" s="3"/>
      <c r="F14" s="3"/>
      <c r="G14" s="3"/>
      <c r="H14" s="31"/>
    </row>
    <row r="15" spans="2:17" x14ac:dyDescent="0.25">
      <c r="B15" s="36"/>
      <c r="C15" s="3"/>
      <c r="D15" s="3"/>
      <c r="E15" s="3"/>
      <c r="F15" s="3"/>
      <c r="G15" s="3"/>
      <c r="H15" s="31"/>
    </row>
    <row r="16" spans="2:17" x14ac:dyDescent="0.25">
      <c r="B16" s="36"/>
      <c r="C16" s="3"/>
      <c r="D16" s="3"/>
      <c r="E16" s="3"/>
      <c r="F16" s="3"/>
      <c r="G16" s="3"/>
      <c r="H16" s="31"/>
    </row>
    <row r="17" spans="2:19" x14ac:dyDescent="0.25">
      <c r="B17" s="36"/>
      <c r="C17" s="3"/>
      <c r="D17" s="3"/>
      <c r="E17" s="3"/>
      <c r="F17" s="3"/>
      <c r="G17" s="3"/>
      <c r="H17" s="31"/>
    </row>
    <row r="18" spans="2:19" x14ac:dyDescent="0.25">
      <c r="B18" s="36"/>
      <c r="C18" s="3"/>
      <c r="D18" s="3"/>
      <c r="E18" s="3"/>
      <c r="F18" s="3"/>
      <c r="G18" s="3"/>
      <c r="H18" s="31"/>
    </row>
    <row r="19" spans="2:19" x14ac:dyDescent="0.25">
      <c r="B19" s="36"/>
      <c r="C19" s="3"/>
      <c r="D19" s="3"/>
      <c r="E19" s="3"/>
      <c r="F19" s="3"/>
      <c r="G19" s="3"/>
      <c r="H19" s="31"/>
    </row>
    <row r="20" spans="2:19" x14ac:dyDescent="0.25">
      <c r="B20" s="36"/>
      <c r="C20" s="3"/>
      <c r="D20" s="3"/>
      <c r="E20" s="3"/>
      <c r="F20" s="3"/>
      <c r="G20" s="3"/>
      <c r="H20" s="31"/>
    </row>
    <row r="21" spans="2:19" x14ac:dyDescent="0.25">
      <c r="B21" s="39"/>
      <c r="C21" s="29"/>
      <c r="D21" s="29"/>
      <c r="E21" s="29"/>
      <c r="F21" s="29"/>
      <c r="G21" s="29"/>
      <c r="H21" s="32"/>
    </row>
    <row r="23" spans="2:19" x14ac:dyDescent="0.25">
      <c r="B23" s="1" t="s">
        <v>0</v>
      </c>
    </row>
    <row r="26" spans="2:19" ht="30" x14ac:dyDescent="0.25">
      <c r="B26" s="56" t="s">
        <v>56</v>
      </c>
      <c r="C26" s="56" t="s">
        <v>57</v>
      </c>
      <c r="D26" s="56" t="s">
        <v>58</v>
      </c>
      <c r="E26" s="56" t="s">
        <v>59</v>
      </c>
      <c r="F26" s="57" t="s">
        <v>55</v>
      </c>
      <c r="N26" s="51" t="s">
        <v>36</v>
      </c>
      <c r="S26" t="s">
        <v>57</v>
      </c>
    </row>
    <row r="27" spans="2:19" x14ac:dyDescent="0.25">
      <c r="B27" s="47">
        <v>1</v>
      </c>
      <c r="C27" s="48">
        <v>65.890146440044674</v>
      </c>
      <c r="D27" s="48">
        <v>14.323944878270581</v>
      </c>
      <c r="E27" s="48">
        <v>9.1</v>
      </c>
      <c r="F27" s="47">
        <v>3</v>
      </c>
      <c r="S27" t="s">
        <v>58</v>
      </c>
    </row>
    <row r="28" spans="2:19" x14ac:dyDescent="0.25">
      <c r="B28" s="47">
        <v>2</v>
      </c>
      <c r="C28" s="48">
        <v>64.935216781493295</v>
      </c>
      <c r="D28" s="48">
        <v>16.233804195373324</v>
      </c>
      <c r="E28" s="48">
        <v>8.8000000000000007</v>
      </c>
      <c r="F28" s="47">
        <v>2</v>
      </c>
      <c r="S28" t="s">
        <v>59</v>
      </c>
    </row>
    <row r="29" spans="2:19" x14ac:dyDescent="0.25">
      <c r="B29" s="47">
        <v>3</v>
      </c>
      <c r="C29" s="48">
        <v>66.845076098596039</v>
      </c>
      <c r="D29" s="48">
        <v>13.369015219719209</v>
      </c>
      <c r="E29" s="48">
        <v>8.9</v>
      </c>
      <c r="F29" s="47">
        <v>1</v>
      </c>
    </row>
    <row r="30" spans="2:19" x14ac:dyDescent="0.25">
      <c r="B30" s="47">
        <v>4</v>
      </c>
      <c r="C30" s="48">
        <v>65.890146440044674</v>
      </c>
      <c r="D30" s="48">
        <v>12.414085561167836</v>
      </c>
      <c r="E30" s="48">
        <v>8.9</v>
      </c>
      <c r="F30" s="47">
        <v>2</v>
      </c>
    </row>
    <row r="31" spans="2:19" x14ac:dyDescent="0.25">
      <c r="B31" s="47">
        <v>5</v>
      </c>
      <c r="C31" s="48">
        <v>66.845076098596039</v>
      </c>
      <c r="D31" s="48">
        <v>12.414085561167836</v>
      </c>
      <c r="E31" s="48">
        <v>8.8000000000000007</v>
      </c>
      <c r="F31" s="47">
        <v>1</v>
      </c>
    </row>
    <row r="32" spans="2:19" x14ac:dyDescent="0.25">
      <c r="B32" s="47">
        <v>6</v>
      </c>
      <c r="C32" s="48">
        <v>66.845076098596039</v>
      </c>
      <c r="D32" s="48">
        <v>14.323944878270581</v>
      </c>
      <c r="E32" s="48">
        <v>8.8000000000000007</v>
      </c>
      <c r="F32" s="47">
        <v>0</v>
      </c>
    </row>
    <row r="33" spans="2:16" x14ac:dyDescent="0.25">
      <c r="B33" s="47">
        <v>7</v>
      </c>
      <c r="C33" s="48">
        <v>64.935216781493295</v>
      </c>
      <c r="D33" s="48">
        <v>12.414085561167836</v>
      </c>
      <c r="E33" s="48">
        <v>9.1</v>
      </c>
      <c r="F33" s="47">
        <v>1</v>
      </c>
    </row>
    <row r="34" spans="2:16" x14ac:dyDescent="0.25">
      <c r="B34" s="47">
        <v>8</v>
      </c>
      <c r="C34" s="48">
        <v>66.845076098596039</v>
      </c>
      <c r="D34" s="48">
        <v>12.414085561167836</v>
      </c>
      <c r="E34" s="48">
        <v>9.1</v>
      </c>
      <c r="F34" s="47">
        <v>2</v>
      </c>
    </row>
    <row r="35" spans="2:16" x14ac:dyDescent="0.25">
      <c r="B35" s="47">
        <v>9</v>
      </c>
      <c r="C35" s="48">
        <v>65.890146440044674</v>
      </c>
      <c r="D35" s="48">
        <v>13.369015219719209</v>
      </c>
      <c r="E35" s="48">
        <v>8.8000000000000007</v>
      </c>
      <c r="F35" s="47">
        <v>1</v>
      </c>
    </row>
    <row r="36" spans="2:16" x14ac:dyDescent="0.25">
      <c r="B36" s="47">
        <v>10</v>
      </c>
      <c r="C36" s="48">
        <v>65.890146440044674</v>
      </c>
      <c r="D36" s="48">
        <v>12.414085561167836</v>
      </c>
      <c r="E36" s="48">
        <v>9.1</v>
      </c>
      <c r="F36" s="47">
        <v>0</v>
      </c>
    </row>
    <row r="37" spans="2:16" x14ac:dyDescent="0.25">
      <c r="B37" s="47">
        <v>11</v>
      </c>
      <c r="C37" s="48">
        <v>65.890146440044674</v>
      </c>
      <c r="D37" s="48">
        <v>14.323944878270581</v>
      </c>
      <c r="E37" s="48">
        <v>8.9</v>
      </c>
      <c r="F37" s="47">
        <v>3</v>
      </c>
      <c r="H37" s="51" t="s">
        <v>12</v>
      </c>
      <c r="L37">
        <v>3</v>
      </c>
    </row>
    <row r="38" spans="2:16" x14ac:dyDescent="0.25">
      <c r="B38" s="47">
        <v>12</v>
      </c>
      <c r="C38" s="48">
        <v>65.890146440044674</v>
      </c>
      <c r="D38" s="48">
        <v>12.414085561167836</v>
      </c>
      <c r="E38" s="48">
        <v>9</v>
      </c>
      <c r="F38" s="47">
        <v>3</v>
      </c>
      <c r="O38" s="46" t="s">
        <v>15</v>
      </c>
      <c r="P38" s="46" t="s">
        <v>16</v>
      </c>
    </row>
    <row r="39" spans="2:16" x14ac:dyDescent="0.25">
      <c r="B39" s="47">
        <v>13</v>
      </c>
      <c r="C39" s="48">
        <v>66.845076098596039</v>
      </c>
      <c r="D39" s="48">
        <v>15.278874536821952</v>
      </c>
      <c r="E39" s="48">
        <v>9.1999999999999993</v>
      </c>
      <c r="F39" s="47">
        <v>3</v>
      </c>
      <c r="O39" s="52" t="s">
        <v>17</v>
      </c>
      <c r="P39" s="52">
        <v>101</v>
      </c>
    </row>
    <row r="40" spans="2:16" x14ac:dyDescent="0.25">
      <c r="B40" s="47">
        <v>14</v>
      </c>
      <c r="C40" s="48">
        <v>64.935216781493295</v>
      </c>
      <c r="D40" s="48">
        <v>16.233804195373324</v>
      </c>
      <c r="E40" s="48">
        <v>8.8000000000000007</v>
      </c>
      <c r="F40" s="47">
        <v>0</v>
      </c>
      <c r="O40" s="52" t="s">
        <v>18</v>
      </c>
      <c r="P40" s="52">
        <v>103</v>
      </c>
    </row>
    <row r="41" spans="2:16" ht="15.75" thickBot="1" x14ac:dyDescent="0.3">
      <c r="B41" s="47">
        <v>15</v>
      </c>
      <c r="C41" s="48">
        <v>65.890146440044674</v>
      </c>
      <c r="D41" s="48">
        <v>12.414085561167836</v>
      </c>
      <c r="E41" s="48">
        <v>9</v>
      </c>
      <c r="F41" s="47">
        <v>3</v>
      </c>
      <c r="O41" s="52" t="s">
        <v>19</v>
      </c>
      <c r="P41" s="52">
        <v>104</v>
      </c>
    </row>
    <row r="42" spans="2:16" x14ac:dyDescent="0.25">
      <c r="B42" s="47">
        <v>16</v>
      </c>
      <c r="C42" s="48">
        <v>66.845076098596039</v>
      </c>
      <c r="D42" s="48">
        <v>12.414085561167836</v>
      </c>
      <c r="E42" s="48">
        <v>8.9</v>
      </c>
      <c r="F42" s="47">
        <v>4</v>
      </c>
      <c r="H42" t="s">
        <v>13</v>
      </c>
      <c r="J42" s="78" t="s">
        <v>17</v>
      </c>
      <c r="K42" s="79"/>
      <c r="L42" s="80"/>
      <c r="O42" s="52" t="s">
        <v>20</v>
      </c>
      <c r="P42" s="52">
        <v>105</v>
      </c>
    </row>
    <row r="43" spans="2:16" x14ac:dyDescent="0.25">
      <c r="B43" s="47">
        <v>17</v>
      </c>
      <c r="C43" s="48">
        <v>66.845076098596039</v>
      </c>
      <c r="D43" s="48">
        <v>13.369015219719209</v>
      </c>
      <c r="E43" s="48">
        <v>8.6999999999999993</v>
      </c>
      <c r="F43" s="47">
        <v>3</v>
      </c>
      <c r="O43" s="52" t="s">
        <v>21</v>
      </c>
      <c r="P43" s="52">
        <v>107</v>
      </c>
    </row>
    <row r="44" spans="2:16" ht="15.75" thickBot="1" x14ac:dyDescent="0.3">
      <c r="B44" s="47">
        <v>18</v>
      </c>
      <c r="C44" s="48">
        <v>66.845076098596039</v>
      </c>
      <c r="D44" s="48">
        <v>15.278874536821952</v>
      </c>
      <c r="E44" s="48">
        <v>9.1</v>
      </c>
      <c r="F44" s="47">
        <v>1</v>
      </c>
      <c r="H44" s="51" t="s">
        <v>14</v>
      </c>
      <c r="O44" s="52" t="s">
        <v>22</v>
      </c>
      <c r="P44" s="52">
        <v>108</v>
      </c>
    </row>
    <row r="45" spans="2:16" x14ac:dyDescent="0.25">
      <c r="B45" s="47">
        <v>19</v>
      </c>
      <c r="C45" s="48">
        <v>66.845076098596039</v>
      </c>
      <c r="D45" s="48">
        <v>12.414085561167836</v>
      </c>
      <c r="E45" s="48">
        <v>9.1999999999999993</v>
      </c>
      <c r="F45" s="47">
        <v>3</v>
      </c>
      <c r="H45" s="100">
        <f>IFERROR(SUBTOTAL(VLOOKUP(J42,$O$39:$P$47,2,0),IF(L37=1,$C$27:$C$78,IF(L37=2,$D$27:$D$78,IF(L37=3,$E$27:$E$78,)))),"Selecione sua Operação")</f>
        <v>8.9346153846153822</v>
      </c>
      <c r="I45" s="101"/>
      <c r="J45" s="101"/>
      <c r="K45" s="101"/>
      <c r="L45" s="102"/>
      <c r="O45" s="52" t="s">
        <v>23</v>
      </c>
      <c r="P45" s="52">
        <v>109</v>
      </c>
    </row>
    <row r="46" spans="2:16" x14ac:dyDescent="0.25">
      <c r="B46" s="47">
        <v>20</v>
      </c>
      <c r="C46" s="48">
        <v>64.935216781493295</v>
      </c>
      <c r="D46" s="48">
        <v>16.233804195373324</v>
      </c>
      <c r="E46" s="48">
        <v>9</v>
      </c>
      <c r="F46" s="47">
        <v>4</v>
      </c>
      <c r="H46" s="103"/>
      <c r="I46" s="104"/>
      <c r="J46" s="104"/>
      <c r="K46" s="104"/>
      <c r="L46" s="105"/>
      <c r="O46" s="52" t="s">
        <v>24</v>
      </c>
      <c r="P46" s="52">
        <v>110</v>
      </c>
    </row>
    <row r="47" spans="2:16" x14ac:dyDescent="0.25">
      <c r="B47" s="47">
        <v>21</v>
      </c>
      <c r="C47" s="48">
        <v>64.935216781493295</v>
      </c>
      <c r="D47" s="48">
        <v>12.414085561167836</v>
      </c>
      <c r="E47" s="48">
        <v>8.8000000000000007</v>
      </c>
      <c r="F47" s="47">
        <v>3</v>
      </c>
      <c r="H47" s="106"/>
      <c r="I47" s="107"/>
      <c r="J47" s="107"/>
      <c r="K47" s="107"/>
      <c r="L47" s="108"/>
      <c r="O47" s="52" t="s">
        <v>25</v>
      </c>
      <c r="P47" s="52">
        <v>111</v>
      </c>
    </row>
    <row r="48" spans="2:16" x14ac:dyDescent="0.25">
      <c r="B48" s="47">
        <v>22</v>
      </c>
      <c r="C48" s="48">
        <v>65.890146440044674</v>
      </c>
      <c r="D48" s="48">
        <v>15.278874536821952</v>
      </c>
      <c r="E48" s="48">
        <v>9.1</v>
      </c>
      <c r="F48" s="47">
        <v>3</v>
      </c>
      <c r="H48" s="109"/>
    </row>
    <row r="49" spans="2:12" ht="15.75" thickBot="1" x14ac:dyDescent="0.3">
      <c r="B49" s="47">
        <v>23</v>
      </c>
      <c r="C49" s="48">
        <v>64.935216781493295</v>
      </c>
      <c r="D49" s="48">
        <v>13.369015219719209</v>
      </c>
      <c r="E49" s="48">
        <v>8.6999999999999993</v>
      </c>
      <c r="F49" s="47">
        <v>2</v>
      </c>
      <c r="H49" s="51" t="s">
        <v>26</v>
      </c>
    </row>
    <row r="50" spans="2:12" x14ac:dyDescent="0.25">
      <c r="B50" s="47">
        <v>24</v>
      </c>
      <c r="C50" s="48">
        <v>66.845076098596039</v>
      </c>
      <c r="D50" s="48">
        <v>16.233804195373324</v>
      </c>
      <c r="E50" s="48">
        <v>9</v>
      </c>
      <c r="F50" s="47">
        <v>2</v>
      </c>
      <c r="H50" s="50"/>
      <c r="I50" s="26"/>
      <c r="J50" s="26"/>
      <c r="K50" s="26"/>
      <c r="L50" s="30"/>
    </row>
    <row r="51" spans="2:12" x14ac:dyDescent="0.25">
      <c r="B51" s="47">
        <v>25</v>
      </c>
      <c r="C51" s="48">
        <v>66.845076098596039</v>
      </c>
      <c r="D51" s="48">
        <v>15.278874536821952</v>
      </c>
      <c r="E51" s="48">
        <v>8.6999999999999993</v>
      </c>
      <c r="F51" s="47">
        <v>2</v>
      </c>
      <c r="H51" s="27"/>
      <c r="I51" s="3"/>
      <c r="J51" s="3"/>
      <c r="K51" s="3"/>
      <c r="L51" s="31"/>
    </row>
    <row r="52" spans="2:12" x14ac:dyDescent="0.25">
      <c r="B52" s="47">
        <v>26</v>
      </c>
      <c r="C52" s="48">
        <v>64.935216781493295</v>
      </c>
      <c r="D52" s="48">
        <v>16.233804195373324</v>
      </c>
      <c r="E52" s="48">
        <v>8.6999999999999993</v>
      </c>
      <c r="F52" s="47">
        <v>1</v>
      </c>
      <c r="H52" s="27"/>
      <c r="I52" s="3"/>
      <c r="J52" s="3"/>
      <c r="K52" s="3"/>
      <c r="L52" s="31"/>
    </row>
    <row r="53" spans="2:12" x14ac:dyDescent="0.25">
      <c r="B53" s="47">
        <v>27</v>
      </c>
      <c r="C53" s="48">
        <v>65.890146440044674</v>
      </c>
      <c r="D53" s="48">
        <v>16.233804195373324</v>
      </c>
      <c r="E53" s="48">
        <v>8.8000000000000007</v>
      </c>
      <c r="F53" s="47">
        <v>1</v>
      </c>
      <c r="H53" s="27"/>
      <c r="I53" s="3"/>
      <c r="J53" s="3"/>
      <c r="K53" s="3"/>
      <c r="L53" s="31"/>
    </row>
    <row r="54" spans="2:12" x14ac:dyDescent="0.25">
      <c r="B54" s="47">
        <v>28</v>
      </c>
      <c r="C54" s="48">
        <v>64.935216781493295</v>
      </c>
      <c r="D54" s="48">
        <v>14.323944878270581</v>
      </c>
      <c r="E54" s="48">
        <v>8.9</v>
      </c>
      <c r="F54" s="47">
        <v>4</v>
      </c>
      <c r="H54" s="27"/>
      <c r="I54" s="3"/>
      <c r="J54" s="3"/>
      <c r="K54" s="3"/>
      <c r="L54" s="31"/>
    </row>
    <row r="55" spans="2:12" x14ac:dyDescent="0.25">
      <c r="B55" s="47">
        <v>29</v>
      </c>
      <c r="C55" s="48">
        <v>66.845076098596039</v>
      </c>
      <c r="D55" s="48">
        <v>12.414085561167836</v>
      </c>
      <c r="E55" s="48">
        <v>9.1999999999999993</v>
      </c>
      <c r="F55" s="47">
        <v>4</v>
      </c>
      <c r="H55" s="27"/>
      <c r="I55" s="3"/>
      <c r="J55" s="3"/>
      <c r="K55" s="3"/>
      <c r="L55" s="31"/>
    </row>
    <row r="56" spans="2:12" x14ac:dyDescent="0.25">
      <c r="B56" s="47">
        <v>30</v>
      </c>
      <c r="C56" s="48">
        <v>65.890146440044674</v>
      </c>
      <c r="D56" s="48">
        <v>14.323944878270581</v>
      </c>
      <c r="E56" s="48">
        <v>8.9</v>
      </c>
      <c r="F56" s="47">
        <v>4</v>
      </c>
      <c r="H56" s="27"/>
      <c r="I56" s="3"/>
      <c r="J56" s="3"/>
      <c r="K56" s="3"/>
      <c r="L56" s="31"/>
    </row>
    <row r="57" spans="2:12" x14ac:dyDescent="0.25">
      <c r="B57" s="47">
        <v>31</v>
      </c>
      <c r="C57" s="48">
        <v>65.890146440044674</v>
      </c>
      <c r="D57" s="48">
        <v>15.278874536821952</v>
      </c>
      <c r="E57" s="48">
        <v>9.1999999999999993</v>
      </c>
      <c r="F57" s="47">
        <v>4</v>
      </c>
      <c r="H57" s="27"/>
      <c r="I57" s="3"/>
      <c r="J57" s="3"/>
      <c r="K57" s="3"/>
      <c r="L57" s="31"/>
    </row>
    <row r="58" spans="2:12" x14ac:dyDescent="0.25">
      <c r="B58" s="47">
        <v>32</v>
      </c>
      <c r="C58" s="48">
        <v>65.890146440044674</v>
      </c>
      <c r="D58" s="48">
        <v>14.323944878270581</v>
      </c>
      <c r="E58" s="48">
        <v>9</v>
      </c>
      <c r="F58" s="47">
        <v>2</v>
      </c>
      <c r="H58" s="28"/>
      <c r="I58" s="29"/>
      <c r="J58" s="29"/>
      <c r="K58" s="29"/>
      <c r="L58" s="32"/>
    </row>
    <row r="59" spans="2:12" x14ac:dyDescent="0.25">
      <c r="B59" s="47">
        <v>33</v>
      </c>
      <c r="C59" s="48">
        <v>65.890146440044674</v>
      </c>
      <c r="D59" s="48">
        <v>12.414085561167836</v>
      </c>
      <c r="E59" s="48">
        <v>8.6999999999999993</v>
      </c>
      <c r="F59" s="47">
        <v>1</v>
      </c>
    </row>
    <row r="60" spans="2:12" x14ac:dyDescent="0.25">
      <c r="B60" s="47">
        <v>34</v>
      </c>
      <c r="C60" s="48">
        <v>66.845076098596039</v>
      </c>
      <c r="D60" s="48">
        <v>16.233804195373324</v>
      </c>
      <c r="E60" s="48">
        <v>8.9</v>
      </c>
      <c r="F60" s="47">
        <v>0</v>
      </c>
      <c r="H60" s="51" t="s">
        <v>27</v>
      </c>
    </row>
    <row r="61" spans="2:12" x14ac:dyDescent="0.25">
      <c r="B61" s="47">
        <v>35</v>
      </c>
      <c r="C61" s="48">
        <v>65.890146440044674</v>
      </c>
      <c r="D61" s="48">
        <v>12.414085561167836</v>
      </c>
      <c r="E61" s="48">
        <v>9.1999999999999993</v>
      </c>
      <c r="F61" s="47">
        <v>4</v>
      </c>
      <c r="H61" s="46" t="s">
        <v>35</v>
      </c>
      <c r="I61" s="46" t="s">
        <v>33</v>
      </c>
      <c r="J61" s="46" t="s">
        <v>34</v>
      </c>
    </row>
    <row r="62" spans="2:12" x14ac:dyDescent="0.25">
      <c r="B62" s="47">
        <v>36</v>
      </c>
      <c r="C62" s="48">
        <v>64.935216781493295</v>
      </c>
      <c r="D62" s="48">
        <v>13.369015219719209</v>
      </c>
      <c r="E62" s="48">
        <v>8.6999999999999993</v>
      </c>
      <c r="F62" s="47">
        <v>2</v>
      </c>
      <c r="H62" s="49">
        <v>1</v>
      </c>
      <c r="I62" s="49" t="s">
        <v>29</v>
      </c>
      <c r="J62" s="49">
        <f>COUNTIF($F$27:$F$78,H62)</f>
        <v>11</v>
      </c>
    </row>
    <row r="63" spans="2:12" x14ac:dyDescent="0.25">
      <c r="B63" s="47">
        <v>37</v>
      </c>
      <c r="C63" s="48">
        <v>64.935216781493295</v>
      </c>
      <c r="D63" s="48">
        <v>13.369015219719209</v>
      </c>
      <c r="E63" s="48">
        <v>8.9</v>
      </c>
      <c r="F63" s="47">
        <v>3</v>
      </c>
      <c r="H63" s="49">
        <v>2</v>
      </c>
      <c r="I63" s="49" t="s">
        <v>31</v>
      </c>
      <c r="J63" s="49">
        <f t="shared" ref="J63:J66" si="0">COUNTIF($F$27:$F$78,H63)</f>
        <v>10</v>
      </c>
    </row>
    <row r="64" spans="2:12" x14ac:dyDescent="0.25">
      <c r="B64" s="47">
        <v>38</v>
      </c>
      <c r="C64" s="48">
        <v>64.935216781493295</v>
      </c>
      <c r="D64" s="48">
        <v>15.278874536821952</v>
      </c>
      <c r="E64" s="48">
        <v>9.1</v>
      </c>
      <c r="F64" s="47">
        <v>0</v>
      </c>
      <c r="H64" s="49">
        <v>3</v>
      </c>
      <c r="I64" s="49" t="s">
        <v>28</v>
      </c>
      <c r="J64" s="49">
        <f t="shared" si="0"/>
        <v>12</v>
      </c>
    </row>
    <row r="65" spans="2:12" x14ac:dyDescent="0.25">
      <c r="B65" s="47">
        <v>39</v>
      </c>
      <c r="C65" s="48">
        <v>66.845076098596039</v>
      </c>
      <c r="D65" s="48">
        <v>15.278874536821952</v>
      </c>
      <c r="E65" s="48">
        <v>8.8000000000000007</v>
      </c>
      <c r="F65" s="47">
        <v>4</v>
      </c>
      <c r="H65" s="49">
        <v>4</v>
      </c>
      <c r="I65" s="49" t="s">
        <v>30</v>
      </c>
      <c r="J65" s="49">
        <f t="shared" si="0"/>
        <v>11</v>
      </c>
    </row>
    <row r="66" spans="2:12" x14ac:dyDescent="0.25">
      <c r="B66" s="47">
        <v>40</v>
      </c>
      <c r="C66" s="48">
        <v>66.845076098596039</v>
      </c>
      <c r="D66" s="48">
        <v>16.233804195373324</v>
      </c>
      <c r="E66" s="48">
        <v>9.1</v>
      </c>
      <c r="F66" s="47">
        <v>0</v>
      </c>
      <c r="H66" s="49">
        <v>5</v>
      </c>
      <c r="I66" s="49" t="s">
        <v>32</v>
      </c>
      <c r="J66" s="49">
        <f t="shared" si="0"/>
        <v>1</v>
      </c>
    </row>
    <row r="67" spans="2:12" x14ac:dyDescent="0.25">
      <c r="B67" s="47">
        <v>41</v>
      </c>
      <c r="C67" s="48">
        <v>64.935216781493295</v>
      </c>
      <c r="D67" s="48">
        <v>14.323944878270581</v>
      </c>
      <c r="E67" s="48">
        <v>8.8000000000000007</v>
      </c>
      <c r="F67" s="47">
        <v>1</v>
      </c>
    </row>
    <row r="68" spans="2:12" ht="15.75" thickBot="1" x14ac:dyDescent="0.3">
      <c r="B68" s="47">
        <v>42</v>
      </c>
      <c r="C68" s="48">
        <v>66.845076098596039</v>
      </c>
      <c r="D68" s="48">
        <v>16.233804195373324</v>
      </c>
      <c r="E68" s="48">
        <v>8.9</v>
      </c>
      <c r="F68" s="47">
        <v>2</v>
      </c>
      <c r="H68" s="51" t="s">
        <v>49</v>
      </c>
    </row>
    <row r="69" spans="2:12" x14ac:dyDescent="0.25">
      <c r="B69" s="47">
        <v>43</v>
      </c>
      <c r="C69" s="48">
        <v>66.845076098596039</v>
      </c>
      <c r="D69" s="48">
        <v>14.323944878270581</v>
      </c>
      <c r="E69" s="48">
        <v>9.1999999999999993</v>
      </c>
      <c r="F69" s="47">
        <v>3</v>
      </c>
      <c r="H69" s="50"/>
      <c r="I69" s="26"/>
      <c r="J69" s="26"/>
      <c r="K69" s="26"/>
      <c r="L69" s="30"/>
    </row>
    <row r="70" spans="2:12" x14ac:dyDescent="0.25">
      <c r="B70" s="47">
        <v>44</v>
      </c>
      <c r="C70" s="48">
        <v>66.845076098596039</v>
      </c>
      <c r="D70" s="48">
        <v>13.369015219719209</v>
      </c>
      <c r="E70" s="48">
        <v>8.8000000000000007</v>
      </c>
      <c r="F70" s="47">
        <v>3</v>
      </c>
      <c r="H70" s="27"/>
      <c r="I70" s="3"/>
      <c r="J70" s="3"/>
      <c r="K70" s="3"/>
      <c r="L70" s="31"/>
    </row>
    <row r="71" spans="2:12" x14ac:dyDescent="0.25">
      <c r="B71" s="47">
        <v>45</v>
      </c>
      <c r="C71" s="48">
        <v>65.890146440044674</v>
      </c>
      <c r="D71" s="48">
        <v>13.369015219719209</v>
      </c>
      <c r="E71" s="48">
        <v>9.1</v>
      </c>
      <c r="F71" s="47">
        <v>0</v>
      </c>
      <c r="H71" s="27"/>
      <c r="I71" s="3"/>
      <c r="J71" s="3"/>
      <c r="K71" s="3"/>
      <c r="L71" s="31"/>
    </row>
    <row r="72" spans="2:12" x14ac:dyDescent="0.25">
      <c r="B72" s="47">
        <v>46</v>
      </c>
      <c r="C72" s="48">
        <v>64.935216781493295</v>
      </c>
      <c r="D72" s="48">
        <v>12.414085561167836</v>
      </c>
      <c r="E72" s="48">
        <v>8.8000000000000007</v>
      </c>
      <c r="F72" s="47">
        <v>2</v>
      </c>
      <c r="H72" s="27"/>
      <c r="I72" s="3"/>
      <c r="J72" s="3"/>
      <c r="K72" s="3"/>
      <c r="L72" s="31"/>
    </row>
    <row r="73" spans="2:12" x14ac:dyDescent="0.25">
      <c r="B73" s="47">
        <v>47</v>
      </c>
      <c r="C73" s="48">
        <v>64.935216781493295</v>
      </c>
      <c r="D73" s="48">
        <v>14.323944878270581</v>
      </c>
      <c r="E73" s="48">
        <v>8.9</v>
      </c>
      <c r="F73" s="47">
        <v>4</v>
      </c>
      <c r="H73" s="27"/>
      <c r="I73" s="3"/>
      <c r="J73" s="3"/>
      <c r="K73" s="3"/>
      <c r="L73" s="31"/>
    </row>
    <row r="74" spans="2:12" x14ac:dyDescent="0.25">
      <c r="B74" s="47">
        <v>48</v>
      </c>
      <c r="C74" s="48">
        <v>66.845076098596039</v>
      </c>
      <c r="D74" s="48">
        <v>16.233804195373324</v>
      </c>
      <c r="E74" s="48">
        <v>8.9</v>
      </c>
      <c r="F74" s="47">
        <v>1</v>
      </c>
      <c r="H74" s="27"/>
      <c r="I74" s="3"/>
      <c r="J74" s="3"/>
      <c r="K74" s="3"/>
      <c r="L74" s="31"/>
    </row>
    <row r="75" spans="2:12" x14ac:dyDescent="0.25">
      <c r="B75" s="47">
        <v>49</v>
      </c>
      <c r="C75" s="48">
        <v>64.935216781493295</v>
      </c>
      <c r="D75" s="48">
        <v>15.278874536821952</v>
      </c>
      <c r="E75" s="48">
        <v>9.1</v>
      </c>
      <c r="F75" s="47">
        <v>1</v>
      </c>
      <c r="H75" s="27"/>
      <c r="I75" s="3"/>
      <c r="J75" s="3"/>
      <c r="K75" s="3"/>
      <c r="L75" s="31"/>
    </row>
    <row r="76" spans="2:12" x14ac:dyDescent="0.25">
      <c r="B76" s="47">
        <v>50</v>
      </c>
      <c r="C76" s="48">
        <v>65.890146440044674</v>
      </c>
      <c r="D76" s="48">
        <v>16.233804195373324</v>
      </c>
      <c r="E76" s="48">
        <v>9.1</v>
      </c>
      <c r="F76" s="47">
        <v>4</v>
      </c>
      <c r="H76" s="27"/>
      <c r="I76" s="3"/>
      <c r="J76" s="3"/>
      <c r="K76" s="3"/>
      <c r="L76" s="31"/>
    </row>
    <row r="77" spans="2:12" x14ac:dyDescent="0.25">
      <c r="B77" s="47">
        <v>51</v>
      </c>
      <c r="C77" s="48">
        <v>64.935216781493295</v>
      </c>
      <c r="D77" s="48">
        <v>15.278874536821952</v>
      </c>
      <c r="E77" s="48">
        <v>8.6999999999999993</v>
      </c>
      <c r="F77" s="47">
        <v>5</v>
      </c>
      <c r="H77" s="28"/>
      <c r="I77" s="29"/>
      <c r="J77" s="29"/>
      <c r="K77" s="29"/>
      <c r="L77" s="32"/>
    </row>
    <row r="78" spans="2:12" x14ac:dyDescent="0.25">
      <c r="B78" s="47">
        <v>52</v>
      </c>
      <c r="C78" s="48">
        <v>65.890146440044674</v>
      </c>
      <c r="D78" s="48">
        <v>12.414085561167836</v>
      </c>
      <c r="E78" s="48">
        <v>8.6999999999999993</v>
      </c>
      <c r="F78" s="47">
        <v>4</v>
      </c>
    </row>
    <row r="80" spans="2:12" x14ac:dyDescent="0.25">
      <c r="C80" s="59" t="s">
        <v>42</v>
      </c>
      <c r="D80" s="59" t="s">
        <v>43</v>
      </c>
      <c r="E80" s="59" t="s">
        <v>44</v>
      </c>
    </row>
    <row r="81" spans="2:5" x14ac:dyDescent="0.25">
      <c r="B81" s="58" t="s">
        <v>6</v>
      </c>
      <c r="C81" s="53">
        <v>64.900000000000006</v>
      </c>
      <c r="D81" s="53">
        <v>12.4</v>
      </c>
      <c r="E81" s="53">
        <v>8.6</v>
      </c>
    </row>
    <row r="82" spans="2:5" x14ac:dyDescent="0.25">
      <c r="B82" s="58" t="s">
        <v>7</v>
      </c>
      <c r="C82" s="53">
        <v>65.290000000000006</v>
      </c>
      <c r="D82" s="53">
        <v>13.167999999999999</v>
      </c>
      <c r="E82" s="53">
        <v>8.74</v>
      </c>
    </row>
    <row r="83" spans="2:5" x14ac:dyDescent="0.25">
      <c r="B83" s="58" t="s">
        <v>8</v>
      </c>
      <c r="C83" s="53">
        <v>65.680000000000007</v>
      </c>
      <c r="D83" s="53">
        <v>13.935999999999998</v>
      </c>
      <c r="E83" s="53">
        <v>8.8800000000000008</v>
      </c>
    </row>
    <row r="84" spans="2:5" x14ac:dyDescent="0.25">
      <c r="B84" s="58" t="s">
        <v>9</v>
      </c>
      <c r="C84" s="53">
        <v>66.070000000000007</v>
      </c>
      <c r="D84" s="53">
        <v>14.703999999999997</v>
      </c>
      <c r="E84" s="53">
        <v>9.0200000000000014</v>
      </c>
    </row>
    <row r="85" spans="2:5" x14ac:dyDescent="0.25">
      <c r="B85" s="58" t="s">
        <v>10</v>
      </c>
      <c r="C85" s="53">
        <v>66.460000000000008</v>
      </c>
      <c r="D85" s="53">
        <v>15.471999999999996</v>
      </c>
      <c r="E85" s="53">
        <v>9.1600000000000019</v>
      </c>
    </row>
    <row r="86" spans="2:5" x14ac:dyDescent="0.25">
      <c r="B86" s="58" t="s">
        <v>11</v>
      </c>
      <c r="C86" s="53">
        <v>66.850000000000009</v>
      </c>
      <c r="D86" s="53">
        <v>16.239999999999995</v>
      </c>
      <c r="E86" s="53">
        <v>9.3000000000000025</v>
      </c>
    </row>
    <row r="87" spans="2:5" ht="4.5" customHeight="1" x14ac:dyDescent="0.25">
      <c r="B87" s="55"/>
    </row>
    <row r="88" spans="2:5" x14ac:dyDescent="0.25">
      <c r="C88" s="59" t="s">
        <v>42</v>
      </c>
      <c r="D88" s="59" t="s">
        <v>43</v>
      </c>
      <c r="E88" s="59" t="s">
        <v>44</v>
      </c>
    </row>
    <row r="89" spans="2:5" x14ac:dyDescent="0.25">
      <c r="B89" s="58" t="s">
        <v>37</v>
      </c>
      <c r="C89" s="54">
        <f>COUNTIFS(C$27:C$78,"&gt;="&amp;C81,C$27:C$78,"&lt;="&amp;C82)</f>
        <v>16</v>
      </c>
      <c r="D89" s="54">
        <f t="shared" ref="D89:E89" si="1">COUNTIFS(D$27:D$78,"&gt;="&amp;D81,D$27:D$78,"&lt;="&amp;D82)</f>
        <v>15</v>
      </c>
      <c r="E89" s="54">
        <f t="shared" si="1"/>
        <v>8</v>
      </c>
    </row>
    <row r="90" spans="2:5" x14ac:dyDescent="0.25">
      <c r="B90" s="58" t="s">
        <v>38</v>
      </c>
      <c r="C90" s="54">
        <f t="shared" ref="C90:E93" si="2">COUNTIFS(C$27:C$78,"&gt;="&amp;C82,C$27:C$78,"&lt;="&amp;C83)</f>
        <v>0</v>
      </c>
      <c r="D90" s="54">
        <f t="shared" si="2"/>
        <v>8</v>
      </c>
      <c r="E90" s="54">
        <f>COUNTIFS(E$27:E$78,"&gt;="&amp;E82,E$27:E$78,"&lt;="&amp;E83)</f>
        <v>11</v>
      </c>
    </row>
    <row r="91" spans="2:5" x14ac:dyDescent="0.25">
      <c r="B91" s="58" t="s">
        <v>39</v>
      </c>
      <c r="C91" s="54">
        <f t="shared" si="2"/>
        <v>17</v>
      </c>
      <c r="D91" s="54">
        <f t="shared" si="2"/>
        <v>9</v>
      </c>
      <c r="E91" s="54">
        <f t="shared" si="2"/>
        <v>16</v>
      </c>
    </row>
    <row r="92" spans="2:5" x14ac:dyDescent="0.25">
      <c r="B92" s="58" t="s">
        <v>40</v>
      </c>
      <c r="C92" s="54">
        <f t="shared" si="2"/>
        <v>0</v>
      </c>
      <c r="D92" s="54">
        <f t="shared" si="2"/>
        <v>9</v>
      </c>
      <c r="E92" s="54">
        <f>COUNTIFS(E$27:E$78,"&gt;="&amp;E84,E$27:E$78,"&lt;="&amp;E85)</f>
        <v>11</v>
      </c>
    </row>
    <row r="93" spans="2:5" x14ac:dyDescent="0.25">
      <c r="B93" s="58" t="s">
        <v>41</v>
      </c>
      <c r="C93" s="54">
        <f t="shared" si="2"/>
        <v>19</v>
      </c>
      <c r="D93" s="54">
        <f t="shared" si="2"/>
        <v>11</v>
      </c>
      <c r="E93" s="54">
        <f>COUNTIFS(E$27:E$78,"&gt;="&amp;E85,E$27:E$78,"&lt;="&amp;E86)</f>
        <v>6</v>
      </c>
    </row>
    <row r="96" spans="2:5" x14ac:dyDescent="0.25">
      <c r="B96" s="110" t="s">
        <v>62</v>
      </c>
      <c r="C96" s="59" t="str">
        <f>IF($L$37=1,C88,IF($L$37=2,D88,IF($L$37=3,E88)))</f>
        <v>C</v>
      </c>
    </row>
    <row r="97" spans="2:3" x14ac:dyDescent="0.25">
      <c r="B97" s="58" t="s">
        <v>37</v>
      </c>
      <c r="C97" s="54">
        <f>IF($L$37=1,C89,IF($L$37=2,D89,IF($L$37=3,E89)))</f>
        <v>8</v>
      </c>
    </row>
    <row r="98" spans="2:3" x14ac:dyDescent="0.25">
      <c r="B98" s="58" t="s">
        <v>38</v>
      </c>
      <c r="C98" s="54">
        <f t="shared" ref="C98:C101" si="3">IF($L$37=1,C90,IF($L$37=2,D90,IF($L$37=3,E90)))</f>
        <v>11</v>
      </c>
    </row>
    <row r="99" spans="2:3" x14ac:dyDescent="0.25">
      <c r="B99" s="58" t="s">
        <v>39</v>
      </c>
      <c r="C99" s="54">
        <f t="shared" si="3"/>
        <v>16</v>
      </c>
    </row>
    <row r="100" spans="2:3" x14ac:dyDescent="0.25">
      <c r="B100" s="58" t="s">
        <v>40</v>
      </c>
      <c r="C100" s="54">
        <f t="shared" si="3"/>
        <v>11</v>
      </c>
    </row>
    <row r="101" spans="2:3" x14ac:dyDescent="0.25">
      <c r="B101" s="58" t="s">
        <v>41</v>
      </c>
      <c r="C101" s="54">
        <f t="shared" si="3"/>
        <v>6</v>
      </c>
    </row>
  </sheetData>
  <mergeCells count="3">
    <mergeCell ref="B2:Q6"/>
    <mergeCell ref="J42:L42"/>
    <mergeCell ref="H45:L47"/>
  </mergeCells>
  <dataValidations count="1">
    <dataValidation type="list" allowBlank="1" showInputMessage="1" showErrorMessage="1" sqref="J42:L42">
      <formula1>$O$39:$O$47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Drop Down 3">
              <controlPr defaultSize="0" autoLine="0" autoPict="0">
                <anchor moveWithCells="1">
                  <from>
                    <xdr:col>8</xdr:col>
                    <xdr:colOff>857250</xdr:colOff>
                    <xdr:row>36</xdr:row>
                    <xdr:rowOff>0</xdr:rowOff>
                  </from>
                  <to>
                    <xdr:col>10</xdr:col>
                    <xdr:colOff>238125</xdr:colOff>
                    <xdr:row>37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S99"/>
  <sheetViews>
    <sheetView showGridLines="0" topLeftCell="A79" workbookViewId="0">
      <selection activeCell="O64" sqref="O64"/>
    </sheetView>
  </sheetViews>
  <sheetFormatPr defaultRowHeight="15" x14ac:dyDescent="0.25"/>
  <cols>
    <col min="1" max="1" width="5" customWidth="1"/>
    <col min="2" max="2" width="15.140625" bestFit="1" customWidth="1"/>
    <col min="4" max="4" width="13.28515625" bestFit="1" customWidth="1"/>
    <col min="6" max="6" width="10.140625" bestFit="1" customWidth="1"/>
    <col min="8" max="8" width="13.28515625" bestFit="1" customWidth="1"/>
    <col min="9" max="9" width="14.42578125" bestFit="1" customWidth="1"/>
    <col min="12" max="12" width="10.5703125" bestFit="1" customWidth="1"/>
    <col min="15" max="15" width="15.28515625" bestFit="1" customWidth="1"/>
    <col min="16" max="16" width="12.85546875" customWidth="1"/>
  </cols>
  <sheetData>
    <row r="2" spans="2:17" x14ac:dyDescent="0.25">
      <c r="B2" s="81" t="str">
        <f>CONTEÚDO!B2</f>
        <v>Super Exercício #4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</row>
    <row r="3" spans="2:17" x14ac:dyDescent="0.25"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6"/>
    </row>
    <row r="4" spans="2:17" x14ac:dyDescent="0.25">
      <c r="B4" s="84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</row>
    <row r="5" spans="2:17" x14ac:dyDescent="0.25">
      <c r="B5" s="84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6"/>
    </row>
    <row r="6" spans="2:17" x14ac:dyDescent="0.25">
      <c r="B6" s="87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9"/>
    </row>
    <row r="8" spans="2:17" x14ac:dyDescent="0.25">
      <c r="B8" s="7" t="s">
        <v>48</v>
      </c>
      <c r="C8" s="8"/>
      <c r="D8" s="8"/>
      <c r="E8" s="8"/>
      <c r="F8" s="8"/>
      <c r="G8" s="8"/>
      <c r="H8" s="9"/>
    </row>
    <row r="9" spans="2:17" x14ac:dyDescent="0.25">
      <c r="B9" s="2"/>
      <c r="C9" s="3"/>
      <c r="D9" s="3"/>
      <c r="E9" s="3"/>
      <c r="F9" s="3"/>
      <c r="G9" s="3"/>
      <c r="H9" s="10"/>
    </row>
    <row r="10" spans="2:17" x14ac:dyDescent="0.25">
      <c r="B10" s="2"/>
      <c r="C10" s="3"/>
      <c r="D10" s="3"/>
      <c r="E10" s="3"/>
      <c r="F10" s="3"/>
      <c r="G10" s="3"/>
      <c r="H10" s="10"/>
    </row>
    <row r="11" spans="2:17" x14ac:dyDescent="0.25">
      <c r="B11" s="2"/>
      <c r="C11" s="3"/>
      <c r="D11" s="3"/>
      <c r="E11" s="3"/>
      <c r="F11" s="3"/>
      <c r="G11" s="3"/>
      <c r="H11" s="10"/>
    </row>
    <row r="12" spans="2:17" x14ac:dyDescent="0.25">
      <c r="B12" s="2"/>
      <c r="C12" s="3"/>
      <c r="D12" s="3"/>
      <c r="E12" s="3"/>
      <c r="F12" s="3"/>
      <c r="G12" s="3"/>
      <c r="H12" s="10"/>
    </row>
    <row r="13" spans="2:17" x14ac:dyDescent="0.25">
      <c r="B13" s="2"/>
      <c r="C13" s="3"/>
      <c r="D13" s="3"/>
      <c r="E13" s="3"/>
      <c r="F13" s="3"/>
      <c r="G13" s="3"/>
      <c r="H13" s="10"/>
    </row>
    <row r="14" spans="2:17" x14ac:dyDescent="0.25">
      <c r="B14" s="2"/>
      <c r="C14" s="3"/>
      <c r="D14" s="3"/>
      <c r="E14" s="3"/>
      <c r="F14" s="3"/>
      <c r="G14" s="3"/>
      <c r="H14" s="10"/>
    </row>
    <row r="15" spans="2:17" x14ac:dyDescent="0.25">
      <c r="B15" s="2"/>
      <c r="C15" s="3"/>
      <c r="D15" s="3"/>
      <c r="E15" s="3"/>
      <c r="F15" s="3"/>
      <c r="G15" s="3"/>
      <c r="H15" s="10"/>
    </row>
    <row r="16" spans="2:17" x14ac:dyDescent="0.25">
      <c r="B16" s="2"/>
      <c r="C16" s="3"/>
      <c r="D16" s="3"/>
      <c r="E16" s="3"/>
      <c r="F16" s="3"/>
      <c r="G16" s="3"/>
      <c r="H16" s="10"/>
    </row>
    <row r="17" spans="2:19" x14ac:dyDescent="0.25">
      <c r="B17" s="2"/>
      <c r="C17" s="3"/>
      <c r="D17" s="3"/>
      <c r="E17" s="3"/>
      <c r="F17" s="3"/>
      <c r="G17" s="3"/>
      <c r="H17" s="10"/>
    </row>
    <row r="18" spans="2:19" x14ac:dyDescent="0.25">
      <c r="B18" s="2"/>
      <c r="C18" s="3"/>
      <c r="D18" s="3"/>
      <c r="E18" s="3"/>
      <c r="F18" s="3"/>
      <c r="G18" s="3"/>
      <c r="H18" s="10"/>
    </row>
    <row r="19" spans="2:19" x14ac:dyDescent="0.25">
      <c r="B19" s="2"/>
      <c r="C19" s="3"/>
      <c r="D19" s="3"/>
      <c r="E19" s="3"/>
      <c r="F19" s="3"/>
      <c r="G19" s="3"/>
      <c r="H19" s="10"/>
    </row>
    <row r="20" spans="2:19" x14ac:dyDescent="0.25">
      <c r="B20" s="2"/>
      <c r="C20" s="3"/>
      <c r="D20" s="3"/>
      <c r="E20" s="3"/>
      <c r="F20" s="3"/>
      <c r="G20" s="3"/>
      <c r="H20" s="10"/>
    </row>
    <row r="21" spans="2:19" x14ac:dyDescent="0.25">
      <c r="B21" s="4"/>
      <c r="C21" s="5"/>
      <c r="D21" s="5"/>
      <c r="E21" s="5"/>
      <c r="F21" s="5"/>
      <c r="G21" s="5"/>
      <c r="H21" s="11"/>
    </row>
    <row r="23" spans="2:19" x14ac:dyDescent="0.25">
      <c r="B23" s="1" t="s">
        <v>0</v>
      </c>
    </row>
    <row r="26" spans="2:19" x14ac:dyDescent="0.25">
      <c r="B26" s="16" t="s">
        <v>1</v>
      </c>
      <c r="C26" s="16" t="s">
        <v>2</v>
      </c>
      <c r="D26" s="16" t="s">
        <v>3</v>
      </c>
      <c r="E26" s="16" t="s">
        <v>4</v>
      </c>
      <c r="F26" s="16" t="s">
        <v>5</v>
      </c>
      <c r="N26" s="1" t="s">
        <v>36</v>
      </c>
    </row>
    <row r="27" spans="2:19" x14ac:dyDescent="0.25">
      <c r="B27" s="13">
        <v>1</v>
      </c>
      <c r="C27" s="14">
        <v>65.890146440044674</v>
      </c>
      <c r="D27" s="14">
        <v>14.323944878270581</v>
      </c>
      <c r="E27" s="14">
        <v>9.1</v>
      </c>
      <c r="F27" s="13">
        <v>3</v>
      </c>
    </row>
    <row r="28" spans="2:19" x14ac:dyDescent="0.25">
      <c r="B28" s="13">
        <v>2</v>
      </c>
      <c r="C28" s="14">
        <v>64.935216781493295</v>
      </c>
      <c r="D28" s="14">
        <v>16.233804195373324</v>
      </c>
      <c r="E28" s="14">
        <v>8.8000000000000007</v>
      </c>
      <c r="F28" s="13">
        <v>2</v>
      </c>
      <c r="S28" s="16" t="s">
        <v>2</v>
      </c>
    </row>
    <row r="29" spans="2:19" x14ac:dyDescent="0.25">
      <c r="B29" s="13">
        <v>3</v>
      </c>
      <c r="C29" s="14">
        <v>66.845076098596039</v>
      </c>
      <c r="D29" s="14">
        <v>13.369015219719209</v>
      </c>
      <c r="E29" s="14">
        <v>8.9</v>
      </c>
      <c r="F29" s="13">
        <v>1</v>
      </c>
      <c r="S29" s="16" t="s">
        <v>3</v>
      </c>
    </row>
    <row r="30" spans="2:19" x14ac:dyDescent="0.25">
      <c r="B30" s="13">
        <v>4</v>
      </c>
      <c r="C30" s="14">
        <v>65.890146440044674</v>
      </c>
      <c r="D30" s="14">
        <v>12.414085561167836</v>
      </c>
      <c r="E30" s="14">
        <v>8.9</v>
      </c>
      <c r="F30" s="13">
        <v>2</v>
      </c>
      <c r="S30" s="16" t="s">
        <v>4</v>
      </c>
    </row>
    <row r="31" spans="2:19" x14ac:dyDescent="0.25">
      <c r="B31" s="13">
        <v>5</v>
      </c>
      <c r="C31" s="14">
        <v>66.845076098596039</v>
      </c>
      <c r="D31" s="14">
        <v>12.414085561167836</v>
      </c>
      <c r="E31" s="14">
        <v>8.8000000000000007</v>
      </c>
      <c r="F31" s="13">
        <v>1</v>
      </c>
    </row>
    <row r="32" spans="2:19" x14ac:dyDescent="0.25">
      <c r="B32" s="13">
        <v>6</v>
      </c>
      <c r="C32" s="14">
        <v>66.845076098596039</v>
      </c>
      <c r="D32" s="14">
        <v>14.323944878270581</v>
      </c>
      <c r="E32" s="14">
        <v>8.8000000000000007</v>
      </c>
      <c r="F32" s="13">
        <v>0</v>
      </c>
    </row>
    <row r="33" spans="2:16" x14ac:dyDescent="0.25">
      <c r="B33" s="13">
        <v>7</v>
      </c>
      <c r="C33" s="14">
        <v>64.935216781493295</v>
      </c>
      <c r="D33" s="14">
        <v>12.414085561167836</v>
      </c>
      <c r="E33" s="14">
        <v>9.1</v>
      </c>
      <c r="F33" s="13">
        <v>1</v>
      </c>
    </row>
    <row r="34" spans="2:16" x14ac:dyDescent="0.25">
      <c r="B34" s="13">
        <v>8</v>
      </c>
      <c r="C34" s="14">
        <v>66.845076098596039</v>
      </c>
      <c r="D34" s="14">
        <v>12.414085561167836</v>
      </c>
      <c r="E34" s="14">
        <v>9.1</v>
      </c>
      <c r="F34" s="13">
        <v>2</v>
      </c>
    </row>
    <row r="35" spans="2:16" x14ac:dyDescent="0.25">
      <c r="B35" s="13">
        <v>9</v>
      </c>
      <c r="C35" s="14">
        <v>65.890146440044674</v>
      </c>
      <c r="D35" s="14">
        <v>13.369015219719209</v>
      </c>
      <c r="E35" s="14">
        <v>8.8000000000000007</v>
      </c>
      <c r="F35" s="13">
        <v>1</v>
      </c>
    </row>
    <row r="36" spans="2:16" x14ac:dyDescent="0.25">
      <c r="B36" s="13">
        <v>10</v>
      </c>
      <c r="C36" s="14">
        <v>65.890146440044674</v>
      </c>
      <c r="D36" s="14">
        <v>12.414085561167836</v>
      </c>
      <c r="E36" s="14">
        <v>9.1</v>
      </c>
      <c r="F36" s="13">
        <v>0</v>
      </c>
    </row>
    <row r="37" spans="2:16" x14ac:dyDescent="0.25">
      <c r="B37" s="13">
        <v>11</v>
      </c>
      <c r="C37" s="14">
        <v>65.890146440044674</v>
      </c>
      <c r="D37" s="14">
        <v>14.323944878270581</v>
      </c>
      <c r="E37" s="14">
        <v>8.9</v>
      </c>
      <c r="F37" s="13">
        <v>3</v>
      </c>
      <c r="H37" s="1" t="s">
        <v>12</v>
      </c>
    </row>
    <row r="38" spans="2:16" x14ac:dyDescent="0.25">
      <c r="B38" s="13">
        <v>12</v>
      </c>
      <c r="C38" s="14">
        <v>65.890146440044674</v>
      </c>
      <c r="D38" s="14">
        <v>12.414085561167836</v>
      </c>
      <c r="E38" s="14">
        <v>9</v>
      </c>
      <c r="F38" s="13">
        <v>3</v>
      </c>
      <c r="H38" s="6">
        <v>3</v>
      </c>
      <c r="O38" s="17" t="s">
        <v>15</v>
      </c>
      <c r="P38" s="17" t="s">
        <v>16</v>
      </c>
    </row>
    <row r="39" spans="2:16" x14ac:dyDescent="0.25">
      <c r="B39" s="13">
        <v>13</v>
      </c>
      <c r="C39" s="14">
        <v>66.845076098596039</v>
      </c>
      <c r="D39" s="14">
        <v>15.278874536821952</v>
      </c>
      <c r="E39" s="14">
        <v>9.1999999999999993</v>
      </c>
      <c r="F39" s="13">
        <v>3</v>
      </c>
      <c r="O39" s="12" t="s">
        <v>17</v>
      </c>
      <c r="P39" s="12">
        <v>101</v>
      </c>
    </row>
    <row r="40" spans="2:16" x14ac:dyDescent="0.25">
      <c r="B40" s="13">
        <v>14</v>
      </c>
      <c r="C40" s="14">
        <v>64.935216781493295</v>
      </c>
      <c r="D40" s="14">
        <v>16.233804195373324</v>
      </c>
      <c r="E40" s="14">
        <v>8.8000000000000007</v>
      </c>
      <c r="F40" s="13">
        <v>0</v>
      </c>
      <c r="O40" s="12" t="s">
        <v>18</v>
      </c>
      <c r="P40" s="12">
        <v>103</v>
      </c>
    </row>
    <row r="41" spans="2:16" x14ac:dyDescent="0.25">
      <c r="B41" s="13">
        <v>15</v>
      </c>
      <c r="C41" s="14">
        <v>65.890146440044674</v>
      </c>
      <c r="D41" s="14">
        <v>12.414085561167836</v>
      </c>
      <c r="E41" s="14">
        <v>9</v>
      </c>
      <c r="F41" s="13">
        <v>3</v>
      </c>
      <c r="O41" s="12" t="s">
        <v>19</v>
      </c>
      <c r="P41" s="12">
        <v>104</v>
      </c>
    </row>
    <row r="42" spans="2:16" x14ac:dyDescent="0.25">
      <c r="B42" s="13">
        <v>16</v>
      </c>
      <c r="C42" s="14">
        <v>66.845076098596039</v>
      </c>
      <c r="D42" s="14">
        <v>12.414085561167836</v>
      </c>
      <c r="E42" s="14">
        <v>8.9</v>
      </c>
      <c r="F42" s="13">
        <v>4</v>
      </c>
      <c r="H42" t="s">
        <v>13</v>
      </c>
      <c r="J42" s="90" t="s">
        <v>19</v>
      </c>
      <c r="K42" s="90"/>
      <c r="L42" s="90"/>
      <c r="O42" s="12" t="s">
        <v>20</v>
      </c>
      <c r="P42" s="12">
        <v>105</v>
      </c>
    </row>
    <row r="43" spans="2:16" x14ac:dyDescent="0.25">
      <c r="B43" s="13">
        <v>17</v>
      </c>
      <c r="C43" s="14">
        <v>66.845076098596039</v>
      </c>
      <c r="D43" s="14">
        <v>13.369015219719209</v>
      </c>
      <c r="E43" s="14">
        <v>8.6999999999999993</v>
      </c>
      <c r="F43" s="13">
        <v>3</v>
      </c>
      <c r="O43" s="12" t="s">
        <v>21</v>
      </c>
      <c r="P43" s="12">
        <v>107</v>
      </c>
    </row>
    <row r="44" spans="2:16" x14ac:dyDescent="0.25">
      <c r="B44" s="13">
        <v>18</v>
      </c>
      <c r="C44" s="14">
        <v>66.845076098596039</v>
      </c>
      <c r="D44" s="14">
        <v>15.278874536821952</v>
      </c>
      <c r="E44" s="14">
        <v>9.1</v>
      </c>
      <c r="F44" s="13">
        <v>1</v>
      </c>
      <c r="H44" s="1" t="s">
        <v>14</v>
      </c>
      <c r="O44" s="12" t="s">
        <v>22</v>
      </c>
      <c r="P44" s="12">
        <v>108</v>
      </c>
    </row>
    <row r="45" spans="2:16" x14ac:dyDescent="0.25">
      <c r="B45" s="13">
        <v>19</v>
      </c>
      <c r="C45" s="14">
        <v>66.845076098596039</v>
      </c>
      <c r="D45" s="14">
        <v>12.414085561167836</v>
      </c>
      <c r="E45" s="14">
        <v>9.1999999999999993</v>
      </c>
      <c r="F45" s="13">
        <v>3</v>
      </c>
      <c r="H45" s="91">
        <f>SUBTOTAL(VLOOKUP(J42,O39:P47,2,0),IF(H38=1,C27:C78,IF(H38=2,D27:D78,IF(H38=3,E27:E78,""))))</f>
        <v>9.1999999999999993</v>
      </c>
      <c r="I45" s="92"/>
      <c r="J45" s="92"/>
      <c r="K45" s="92"/>
      <c r="L45" s="93"/>
      <c r="O45" s="12" t="s">
        <v>23</v>
      </c>
      <c r="P45" s="12">
        <v>109</v>
      </c>
    </row>
    <row r="46" spans="2:16" x14ac:dyDescent="0.25">
      <c r="B46" s="13">
        <v>20</v>
      </c>
      <c r="C46" s="14">
        <v>64.935216781493295</v>
      </c>
      <c r="D46" s="14">
        <v>16.233804195373324</v>
      </c>
      <c r="E46" s="14">
        <v>9</v>
      </c>
      <c r="F46" s="13">
        <v>4</v>
      </c>
      <c r="H46" s="94"/>
      <c r="I46" s="95"/>
      <c r="J46" s="95"/>
      <c r="K46" s="95"/>
      <c r="L46" s="96"/>
      <c r="O46" s="12" t="s">
        <v>24</v>
      </c>
      <c r="P46" s="12">
        <v>110</v>
      </c>
    </row>
    <row r="47" spans="2:16" x14ac:dyDescent="0.25">
      <c r="B47" s="13">
        <v>21</v>
      </c>
      <c r="C47" s="14">
        <v>64.935216781493295</v>
      </c>
      <c r="D47" s="14">
        <v>12.414085561167836</v>
      </c>
      <c r="E47" s="14">
        <v>8.8000000000000007</v>
      </c>
      <c r="F47" s="13">
        <v>3</v>
      </c>
      <c r="H47" s="97"/>
      <c r="I47" s="98"/>
      <c r="J47" s="98"/>
      <c r="K47" s="98"/>
      <c r="L47" s="99"/>
      <c r="O47" s="12" t="s">
        <v>25</v>
      </c>
      <c r="P47" s="12">
        <v>111</v>
      </c>
    </row>
    <row r="48" spans="2:16" x14ac:dyDescent="0.25">
      <c r="B48" s="13">
        <v>22</v>
      </c>
      <c r="C48" s="14">
        <v>65.890146440044674</v>
      </c>
      <c r="D48" s="14">
        <v>15.278874536821952</v>
      </c>
      <c r="E48" s="14">
        <v>9.1</v>
      </c>
      <c r="F48" s="13">
        <v>3</v>
      </c>
    </row>
    <row r="49" spans="2:12" x14ac:dyDescent="0.25">
      <c r="B49" s="13">
        <v>23</v>
      </c>
      <c r="C49" s="14">
        <v>64.935216781493295</v>
      </c>
      <c r="D49" s="14">
        <v>13.369015219719209</v>
      </c>
      <c r="E49" s="14">
        <v>8.6999999999999993</v>
      </c>
      <c r="F49" s="13">
        <v>2</v>
      </c>
      <c r="H49" s="1" t="s">
        <v>60</v>
      </c>
    </row>
    <row r="50" spans="2:12" x14ac:dyDescent="0.25">
      <c r="B50" s="13">
        <v>24</v>
      </c>
      <c r="C50" s="14">
        <v>66.845076098596039</v>
      </c>
      <c r="D50" s="14">
        <v>16.233804195373324</v>
      </c>
      <c r="E50" s="14">
        <v>9</v>
      </c>
      <c r="F50" s="13">
        <v>2</v>
      </c>
      <c r="H50" s="18"/>
      <c r="I50" s="8"/>
      <c r="J50" s="8"/>
      <c r="K50" s="8"/>
      <c r="L50" s="9"/>
    </row>
    <row r="51" spans="2:12" x14ac:dyDescent="0.25">
      <c r="B51" s="13">
        <v>25</v>
      </c>
      <c r="C51" s="14">
        <v>66.845076098596039</v>
      </c>
      <c r="D51" s="14">
        <v>15.278874536821952</v>
      </c>
      <c r="E51" s="14">
        <v>8.6999999999999993</v>
      </c>
      <c r="F51" s="13">
        <v>2</v>
      </c>
      <c r="H51" s="2"/>
      <c r="I51" s="3"/>
      <c r="J51" s="3"/>
      <c r="K51" s="3"/>
      <c r="L51" s="10"/>
    </row>
    <row r="52" spans="2:12" x14ac:dyDescent="0.25">
      <c r="B52" s="13">
        <v>26</v>
      </c>
      <c r="C52" s="14">
        <v>64.935216781493295</v>
      </c>
      <c r="D52" s="14">
        <v>16.233804195373324</v>
      </c>
      <c r="E52" s="14">
        <v>8.6999999999999993</v>
      </c>
      <c r="F52" s="13">
        <v>1</v>
      </c>
      <c r="H52" s="2"/>
      <c r="I52" s="3"/>
      <c r="J52" s="3"/>
      <c r="K52" s="3"/>
      <c r="L52" s="10"/>
    </row>
    <row r="53" spans="2:12" x14ac:dyDescent="0.25">
      <c r="B53" s="13">
        <v>27</v>
      </c>
      <c r="C53" s="14">
        <v>65.890146440044674</v>
      </c>
      <c r="D53" s="14">
        <v>16.233804195373324</v>
      </c>
      <c r="E53" s="14">
        <v>8.8000000000000007</v>
      </c>
      <c r="F53" s="13">
        <v>1</v>
      </c>
      <c r="H53" s="2"/>
      <c r="I53" s="3"/>
      <c r="J53" s="3"/>
      <c r="K53" s="3"/>
      <c r="L53" s="10"/>
    </row>
    <row r="54" spans="2:12" x14ac:dyDescent="0.25">
      <c r="B54" s="13">
        <v>28</v>
      </c>
      <c r="C54" s="14">
        <v>64.935216781493295</v>
      </c>
      <c r="D54" s="14">
        <v>14.323944878270581</v>
      </c>
      <c r="E54" s="14">
        <v>8.9</v>
      </c>
      <c r="F54" s="13">
        <v>4</v>
      </c>
      <c r="H54" s="2"/>
      <c r="I54" s="3"/>
      <c r="J54" s="3"/>
      <c r="K54" s="3"/>
      <c r="L54" s="10"/>
    </row>
    <row r="55" spans="2:12" x14ac:dyDescent="0.25">
      <c r="B55" s="13">
        <v>29</v>
      </c>
      <c r="C55" s="14">
        <v>66.845076098596039</v>
      </c>
      <c r="D55" s="14">
        <v>12.414085561167836</v>
      </c>
      <c r="E55" s="14">
        <v>9.1999999999999993</v>
      </c>
      <c r="F55" s="13">
        <v>4</v>
      </c>
      <c r="H55" s="2"/>
      <c r="I55" s="3"/>
      <c r="J55" s="3"/>
      <c r="K55" s="3"/>
      <c r="L55" s="10"/>
    </row>
    <row r="56" spans="2:12" x14ac:dyDescent="0.25">
      <c r="B56" s="13">
        <v>30</v>
      </c>
      <c r="C56" s="14">
        <v>65.890146440044674</v>
      </c>
      <c r="D56" s="14">
        <v>14.323944878270581</v>
      </c>
      <c r="E56" s="14">
        <v>8.9</v>
      </c>
      <c r="F56" s="13">
        <v>4</v>
      </c>
      <c r="H56" s="2"/>
      <c r="I56" s="3"/>
      <c r="J56" s="3"/>
      <c r="K56" s="3"/>
      <c r="L56" s="10"/>
    </row>
    <row r="57" spans="2:12" x14ac:dyDescent="0.25">
      <c r="B57" s="13">
        <v>31</v>
      </c>
      <c r="C57" s="14">
        <v>65.890146440044674</v>
      </c>
      <c r="D57" s="14">
        <v>15.278874536821952</v>
      </c>
      <c r="E57" s="14">
        <v>9.1999999999999993</v>
      </c>
      <c r="F57" s="13">
        <v>4</v>
      </c>
      <c r="H57" s="2"/>
      <c r="I57" s="3"/>
      <c r="J57" s="3"/>
      <c r="K57" s="3"/>
      <c r="L57" s="10"/>
    </row>
    <row r="58" spans="2:12" x14ac:dyDescent="0.25">
      <c r="B58" s="13">
        <v>32</v>
      </c>
      <c r="C58" s="14">
        <v>65.890146440044674</v>
      </c>
      <c r="D58" s="14">
        <v>14.323944878270581</v>
      </c>
      <c r="E58" s="14">
        <v>9</v>
      </c>
      <c r="F58" s="13">
        <v>2</v>
      </c>
      <c r="H58" s="4"/>
      <c r="I58" s="5"/>
      <c r="J58" s="5"/>
      <c r="K58" s="5"/>
      <c r="L58" s="11"/>
    </row>
    <row r="59" spans="2:12" x14ac:dyDescent="0.25">
      <c r="B59" s="13">
        <v>33</v>
      </c>
      <c r="C59" s="14">
        <v>65.890146440044674</v>
      </c>
      <c r="D59" s="14">
        <v>12.414085561167836</v>
      </c>
      <c r="E59" s="14">
        <v>8.6999999999999993</v>
      </c>
      <c r="F59" s="13">
        <v>1</v>
      </c>
    </row>
    <row r="60" spans="2:12" x14ac:dyDescent="0.25">
      <c r="B60" s="13">
        <v>34</v>
      </c>
      <c r="C60" s="14">
        <v>66.845076098596039</v>
      </c>
      <c r="D60" s="14">
        <v>16.233804195373324</v>
      </c>
      <c r="E60" s="14">
        <v>8.9</v>
      </c>
      <c r="F60" s="13">
        <v>0</v>
      </c>
      <c r="H60" s="20" t="s">
        <v>27</v>
      </c>
    </row>
    <row r="61" spans="2:12" x14ac:dyDescent="0.25">
      <c r="B61" s="13">
        <v>35</v>
      </c>
      <c r="C61" s="14">
        <v>65.890146440044674</v>
      </c>
      <c r="D61" s="14">
        <v>12.414085561167836</v>
      </c>
      <c r="E61" s="14">
        <v>9.1999999999999993</v>
      </c>
      <c r="F61" s="13">
        <v>4</v>
      </c>
      <c r="H61" s="16" t="s">
        <v>35</v>
      </c>
      <c r="I61" s="16" t="s">
        <v>33</v>
      </c>
      <c r="J61" s="16" t="s">
        <v>34</v>
      </c>
      <c r="K61" s="24" t="s">
        <v>52</v>
      </c>
    </row>
    <row r="62" spans="2:12" x14ac:dyDescent="0.25">
      <c r="B62" s="13">
        <v>36</v>
      </c>
      <c r="C62" s="14">
        <v>64.935216781493295</v>
      </c>
      <c r="D62" s="14">
        <v>13.369015219719209</v>
      </c>
      <c r="E62" s="14">
        <v>8.6999999999999993</v>
      </c>
      <c r="F62" s="13">
        <v>2</v>
      </c>
      <c r="H62" s="19">
        <v>3</v>
      </c>
      <c r="I62" s="19" t="s">
        <v>28</v>
      </c>
      <c r="J62" s="19">
        <f>COUNTIF($F$27:$F$78,H62)</f>
        <v>12</v>
      </c>
      <c r="K62" s="25">
        <f>J62/SUM($J$62:$J$66)</f>
        <v>0.26666666666666666</v>
      </c>
    </row>
    <row r="63" spans="2:12" x14ac:dyDescent="0.25">
      <c r="B63" s="13">
        <v>37</v>
      </c>
      <c r="C63" s="14">
        <v>64.935216781493295</v>
      </c>
      <c r="D63" s="14">
        <v>13.369015219719209</v>
      </c>
      <c r="E63" s="14">
        <v>8.9</v>
      </c>
      <c r="F63" s="13">
        <v>3</v>
      </c>
      <c r="H63" s="19">
        <v>1</v>
      </c>
      <c r="I63" s="19" t="s">
        <v>29</v>
      </c>
      <c r="J63" s="19">
        <f>COUNTIF($F$27:$F$78,H63)</f>
        <v>11</v>
      </c>
      <c r="K63" s="25">
        <f>J63/SUM($J$62:$J$66)+K62</f>
        <v>0.51111111111111107</v>
      </c>
    </row>
    <row r="64" spans="2:12" x14ac:dyDescent="0.25">
      <c r="B64" s="13">
        <v>38</v>
      </c>
      <c r="C64" s="14">
        <v>64.935216781493295</v>
      </c>
      <c r="D64" s="14">
        <v>15.278874536821952</v>
      </c>
      <c r="E64" s="14">
        <v>9.1</v>
      </c>
      <c r="F64" s="13">
        <v>0</v>
      </c>
      <c r="H64" s="19">
        <v>4</v>
      </c>
      <c r="I64" s="19" t="s">
        <v>30</v>
      </c>
      <c r="J64" s="19">
        <f>COUNTIF($F$27:$F$78,H64)</f>
        <v>11</v>
      </c>
      <c r="K64" s="25">
        <f t="shared" ref="K64:K66" si="0">J64/SUM($J$62:$J$66)+K63</f>
        <v>0.75555555555555554</v>
      </c>
    </row>
    <row r="65" spans="2:12" x14ac:dyDescent="0.25">
      <c r="B65" s="13">
        <v>39</v>
      </c>
      <c r="C65" s="14">
        <v>66.845076098596039</v>
      </c>
      <c r="D65" s="14">
        <v>15.278874536821952</v>
      </c>
      <c r="E65" s="14">
        <v>8.8000000000000007</v>
      </c>
      <c r="F65" s="13">
        <v>4</v>
      </c>
      <c r="H65" s="19">
        <v>2</v>
      </c>
      <c r="I65" s="19" t="s">
        <v>31</v>
      </c>
      <c r="J65" s="19">
        <f>COUNTIF($F$27:$F$78,H65)</f>
        <v>10</v>
      </c>
      <c r="K65" s="25">
        <f t="shared" si="0"/>
        <v>0.97777777777777775</v>
      </c>
    </row>
    <row r="66" spans="2:12" x14ac:dyDescent="0.25">
      <c r="B66" s="13">
        <v>40</v>
      </c>
      <c r="C66" s="14">
        <v>66.845076098596039</v>
      </c>
      <c r="D66" s="14">
        <v>16.233804195373324</v>
      </c>
      <c r="E66" s="14">
        <v>9.1</v>
      </c>
      <c r="F66" s="13">
        <v>0</v>
      </c>
      <c r="H66" s="19">
        <v>5</v>
      </c>
      <c r="I66" s="19" t="s">
        <v>32</v>
      </c>
      <c r="J66" s="19">
        <f>COUNTIF($F$27:$F$78,H66)</f>
        <v>1</v>
      </c>
      <c r="K66" s="25">
        <f t="shared" si="0"/>
        <v>1</v>
      </c>
    </row>
    <row r="67" spans="2:12" x14ac:dyDescent="0.25">
      <c r="B67" s="13">
        <v>41</v>
      </c>
      <c r="C67" s="14">
        <v>64.935216781493295</v>
      </c>
      <c r="D67" s="14">
        <v>14.323944878270581</v>
      </c>
      <c r="E67" s="14">
        <v>8.8000000000000007</v>
      </c>
      <c r="F67" s="13">
        <v>1</v>
      </c>
    </row>
    <row r="68" spans="2:12" x14ac:dyDescent="0.25">
      <c r="B68" s="13">
        <v>42</v>
      </c>
      <c r="C68" s="14">
        <v>66.845076098596039</v>
      </c>
      <c r="D68" s="14">
        <v>16.233804195373324</v>
      </c>
      <c r="E68" s="14">
        <v>8.9</v>
      </c>
      <c r="F68" s="13">
        <v>2</v>
      </c>
      <c r="H68" s="1" t="s">
        <v>49</v>
      </c>
    </row>
    <row r="69" spans="2:12" x14ac:dyDescent="0.25">
      <c r="B69" s="13">
        <v>43</v>
      </c>
      <c r="C69" s="14">
        <v>66.845076098596039</v>
      </c>
      <c r="D69" s="14">
        <v>14.323944878270581</v>
      </c>
      <c r="E69" s="14">
        <v>9.1999999999999993</v>
      </c>
      <c r="F69" s="13">
        <v>3</v>
      </c>
      <c r="H69" s="18"/>
      <c r="I69" s="8"/>
      <c r="J69" s="8"/>
      <c r="K69" s="8"/>
      <c r="L69" s="9"/>
    </row>
    <row r="70" spans="2:12" x14ac:dyDescent="0.25">
      <c r="B70" s="13">
        <v>44</v>
      </c>
      <c r="C70" s="14">
        <v>66.845076098596039</v>
      </c>
      <c r="D70" s="14">
        <v>13.369015219719209</v>
      </c>
      <c r="E70" s="14">
        <v>8.8000000000000007</v>
      </c>
      <c r="F70" s="13">
        <v>3</v>
      </c>
      <c r="H70" s="2"/>
      <c r="I70" s="3"/>
      <c r="J70" s="3"/>
      <c r="K70" s="3"/>
      <c r="L70" s="10"/>
    </row>
    <row r="71" spans="2:12" x14ac:dyDescent="0.25">
      <c r="B71" s="13">
        <v>45</v>
      </c>
      <c r="C71" s="14">
        <v>65.890146440044674</v>
      </c>
      <c r="D71" s="14">
        <v>13.369015219719209</v>
      </c>
      <c r="E71" s="14">
        <v>9.1</v>
      </c>
      <c r="F71" s="13">
        <v>0</v>
      </c>
      <c r="H71" s="2"/>
      <c r="I71" s="3"/>
      <c r="J71" s="3"/>
      <c r="K71" s="3"/>
      <c r="L71" s="10"/>
    </row>
    <row r="72" spans="2:12" x14ac:dyDescent="0.25">
      <c r="B72" s="13">
        <v>46</v>
      </c>
      <c r="C72" s="14">
        <v>64.935216781493295</v>
      </c>
      <c r="D72" s="14">
        <v>12.414085561167836</v>
      </c>
      <c r="E72" s="14">
        <v>8.8000000000000007</v>
      </c>
      <c r="F72" s="13">
        <v>2</v>
      </c>
      <c r="H72" s="2"/>
      <c r="I72" s="3"/>
      <c r="J72" s="3"/>
      <c r="K72" s="3"/>
      <c r="L72" s="10"/>
    </row>
    <row r="73" spans="2:12" x14ac:dyDescent="0.25">
      <c r="B73" s="13">
        <v>47</v>
      </c>
      <c r="C73" s="14">
        <v>64.935216781493295</v>
      </c>
      <c r="D73" s="14">
        <v>14.323944878270581</v>
      </c>
      <c r="E73" s="14">
        <v>8.9</v>
      </c>
      <c r="F73" s="13">
        <v>4</v>
      </c>
      <c r="H73" s="2"/>
      <c r="I73" s="3"/>
      <c r="J73" s="3"/>
      <c r="K73" s="3"/>
      <c r="L73" s="10"/>
    </row>
    <row r="74" spans="2:12" x14ac:dyDescent="0.25">
      <c r="B74" s="13">
        <v>48</v>
      </c>
      <c r="C74" s="14">
        <v>66.845076098596039</v>
      </c>
      <c r="D74" s="14">
        <v>16.233804195373324</v>
      </c>
      <c r="E74" s="14">
        <v>8.9</v>
      </c>
      <c r="F74" s="13">
        <v>1</v>
      </c>
      <c r="H74" s="2"/>
      <c r="I74" s="3"/>
      <c r="J74" s="3"/>
      <c r="K74" s="3"/>
      <c r="L74" s="10"/>
    </row>
    <row r="75" spans="2:12" x14ac:dyDescent="0.25">
      <c r="B75" s="13">
        <v>49</v>
      </c>
      <c r="C75" s="14">
        <v>64.935216781493295</v>
      </c>
      <c r="D75" s="14">
        <v>15.278874536821952</v>
      </c>
      <c r="E75" s="14">
        <v>9.1</v>
      </c>
      <c r="F75" s="13">
        <v>1</v>
      </c>
      <c r="H75" s="2"/>
      <c r="I75" s="3"/>
      <c r="J75" s="3"/>
      <c r="K75" s="3"/>
      <c r="L75" s="10"/>
    </row>
    <row r="76" spans="2:12" x14ac:dyDescent="0.25">
      <c r="B76" s="13">
        <v>50</v>
      </c>
      <c r="C76" s="14">
        <v>65.890146440044674</v>
      </c>
      <c r="D76" s="14">
        <v>16.233804195373324</v>
      </c>
      <c r="E76" s="14">
        <v>9.1</v>
      </c>
      <c r="F76" s="13">
        <v>4</v>
      </c>
      <c r="H76" s="2"/>
      <c r="I76" s="3"/>
      <c r="J76" s="3"/>
      <c r="K76" s="3"/>
      <c r="L76" s="10"/>
    </row>
    <row r="77" spans="2:12" x14ac:dyDescent="0.25">
      <c r="B77" s="13">
        <v>51</v>
      </c>
      <c r="C77" s="14">
        <v>64.935216781493295</v>
      </c>
      <c r="D77" s="14">
        <v>15.278874536821952</v>
      </c>
      <c r="E77" s="14">
        <v>8.6999999999999993</v>
      </c>
      <c r="F77" s="13">
        <v>5</v>
      </c>
      <c r="H77" s="4"/>
      <c r="I77" s="5"/>
      <c r="J77" s="5"/>
      <c r="K77" s="5"/>
      <c r="L77" s="11"/>
    </row>
    <row r="78" spans="2:12" x14ac:dyDescent="0.25">
      <c r="B78" s="13">
        <v>52</v>
      </c>
      <c r="C78" s="14">
        <v>65.890146440044674</v>
      </c>
      <c r="D78" s="14">
        <v>12.414085561167836</v>
      </c>
      <c r="E78" s="14">
        <v>8.6999999999999993</v>
      </c>
      <c r="F78" s="13">
        <v>4</v>
      </c>
    </row>
    <row r="80" spans="2:12" x14ac:dyDescent="0.25">
      <c r="C80" s="6" t="s">
        <v>42</v>
      </c>
      <c r="D80" s="6" t="s">
        <v>43</v>
      </c>
      <c r="E80" s="6" t="s">
        <v>44</v>
      </c>
    </row>
    <row r="81" spans="2:5" x14ac:dyDescent="0.25">
      <c r="B81" s="15" t="s">
        <v>6</v>
      </c>
      <c r="C81" s="12">
        <v>64.900000000000006</v>
      </c>
      <c r="D81" s="12">
        <v>12.4</v>
      </c>
      <c r="E81" s="12">
        <v>8.6</v>
      </c>
    </row>
    <row r="82" spans="2:5" x14ac:dyDescent="0.25">
      <c r="B82" s="15" t="s">
        <v>7</v>
      </c>
      <c r="C82" s="12">
        <v>65.290000000000006</v>
      </c>
      <c r="D82" s="12">
        <v>13.167999999999999</v>
      </c>
      <c r="E82" s="12">
        <v>8.74</v>
      </c>
    </row>
    <row r="83" spans="2:5" x14ac:dyDescent="0.25">
      <c r="B83" s="15" t="s">
        <v>8</v>
      </c>
      <c r="C83" s="12">
        <v>65.680000000000007</v>
      </c>
      <c r="D83" s="12">
        <v>13.935999999999998</v>
      </c>
      <c r="E83" s="12">
        <v>8.8800000000000008</v>
      </c>
    </row>
    <row r="84" spans="2:5" x14ac:dyDescent="0.25">
      <c r="B84" s="15" t="s">
        <v>9</v>
      </c>
      <c r="C84" s="12">
        <v>66.070000000000007</v>
      </c>
      <c r="D84" s="12">
        <v>14.703999999999997</v>
      </c>
      <c r="E84" s="12">
        <v>9.0200000000000014</v>
      </c>
    </row>
    <row r="85" spans="2:5" x14ac:dyDescent="0.25">
      <c r="B85" s="15" t="s">
        <v>10</v>
      </c>
      <c r="C85" s="12">
        <v>66.460000000000008</v>
      </c>
      <c r="D85" s="12">
        <v>15.471999999999996</v>
      </c>
      <c r="E85" s="12">
        <v>9.1600000000000019</v>
      </c>
    </row>
    <row r="86" spans="2:5" x14ac:dyDescent="0.25">
      <c r="B86" s="15" t="s">
        <v>11</v>
      </c>
      <c r="C86" s="12">
        <v>66.850000000000009</v>
      </c>
      <c r="D86" s="12">
        <v>16.239999999999995</v>
      </c>
      <c r="E86" s="12">
        <v>9.3000000000000025</v>
      </c>
    </row>
    <row r="87" spans="2:5" x14ac:dyDescent="0.25">
      <c r="C87" s="6" t="s">
        <v>42</v>
      </c>
      <c r="D87" s="6" t="s">
        <v>43</v>
      </c>
      <c r="E87" s="6" t="s">
        <v>44</v>
      </c>
    </row>
    <row r="88" spans="2:5" x14ac:dyDescent="0.25">
      <c r="B88" s="15" t="s">
        <v>37</v>
      </c>
      <c r="C88" s="21">
        <f>COUNTIFS(C$27:C$78,"&gt;="&amp;C81,C$27:C$78,"&lt;"&amp;C82)</f>
        <v>16</v>
      </c>
      <c r="D88" s="21">
        <f t="shared" ref="D88:E88" si="1">COUNTIFS(D$27:D$78,"&gt;="&amp;D81,D$27:D$78,"&lt;"&amp;D82)</f>
        <v>15</v>
      </c>
      <c r="E88" s="21">
        <f t="shared" si="1"/>
        <v>8</v>
      </c>
    </row>
    <row r="89" spans="2:5" x14ac:dyDescent="0.25">
      <c r="B89" s="15" t="s">
        <v>38</v>
      </c>
      <c r="C89" s="21">
        <f t="shared" ref="C89:E91" si="2">COUNTIFS(C$27:C$78,"&gt;="&amp;C82,C$27:C$78,"&lt;"&amp;C83)</f>
        <v>0</v>
      </c>
      <c r="D89" s="21">
        <f t="shared" si="2"/>
        <v>8</v>
      </c>
      <c r="E89" s="21">
        <f t="shared" si="2"/>
        <v>11</v>
      </c>
    </row>
    <row r="90" spans="2:5" x14ac:dyDescent="0.25">
      <c r="B90" s="15" t="s">
        <v>39</v>
      </c>
      <c r="C90" s="21">
        <f t="shared" si="2"/>
        <v>17</v>
      </c>
      <c r="D90" s="21">
        <f t="shared" si="2"/>
        <v>9</v>
      </c>
      <c r="E90" s="21">
        <f t="shared" si="2"/>
        <v>16</v>
      </c>
    </row>
    <row r="91" spans="2:5" x14ac:dyDescent="0.25">
      <c r="B91" s="15" t="s">
        <v>40</v>
      </c>
      <c r="C91" s="21">
        <f t="shared" si="2"/>
        <v>0</v>
      </c>
      <c r="D91" s="21">
        <f t="shared" si="2"/>
        <v>9</v>
      </c>
      <c r="E91" s="21">
        <f t="shared" si="2"/>
        <v>11</v>
      </c>
    </row>
    <row r="92" spans="2:5" x14ac:dyDescent="0.25">
      <c r="B92" s="15" t="s">
        <v>41</v>
      </c>
      <c r="C92" s="21">
        <f>COUNTIFS(C$27:C$78,"&gt;="&amp;C85,C$27:C$78,"&lt;="&amp;C86)</f>
        <v>19</v>
      </c>
      <c r="D92" s="21">
        <f t="shared" ref="D92:E92" si="3">COUNTIFS(D$27:D$78,"&gt;="&amp;D85,D$27:D$78,"&lt;="&amp;D86)</f>
        <v>11</v>
      </c>
      <c r="E92" s="21">
        <f t="shared" si="3"/>
        <v>6</v>
      </c>
    </row>
    <row r="94" spans="2:5" x14ac:dyDescent="0.25">
      <c r="B94" s="23" t="s">
        <v>50</v>
      </c>
      <c r="C94" s="6" t="s">
        <v>51</v>
      </c>
    </row>
    <row r="95" spans="2:5" x14ac:dyDescent="0.25">
      <c r="B95" s="22" t="s">
        <v>37</v>
      </c>
      <c r="C95" s="21">
        <f>IF($H$38=1,C88,IF($H$38=2,D88,IF($H$38=3,E88,"")))</f>
        <v>8</v>
      </c>
    </row>
    <row r="96" spans="2:5" x14ac:dyDescent="0.25">
      <c r="B96" s="22" t="s">
        <v>38</v>
      </c>
      <c r="C96" s="21">
        <f t="shared" ref="C96:C99" si="4">IF($H$38=1,C89,IF($H$38=2,D89,IF($H$38=3,E89,"")))</f>
        <v>11</v>
      </c>
    </row>
    <row r="97" spans="2:3" x14ac:dyDescent="0.25">
      <c r="B97" s="22" t="s">
        <v>39</v>
      </c>
      <c r="C97" s="21">
        <f t="shared" si="4"/>
        <v>16</v>
      </c>
    </row>
    <row r="98" spans="2:3" x14ac:dyDescent="0.25">
      <c r="B98" s="22" t="s">
        <v>40</v>
      </c>
      <c r="C98" s="21">
        <f t="shared" si="4"/>
        <v>11</v>
      </c>
    </row>
    <row r="99" spans="2:3" x14ac:dyDescent="0.25">
      <c r="B99" s="22" t="s">
        <v>41</v>
      </c>
      <c r="C99" s="21">
        <f t="shared" si="4"/>
        <v>6</v>
      </c>
    </row>
  </sheetData>
  <autoFilter ref="H61:K61">
    <sortState ref="H62:K66">
      <sortCondition descending="1" ref="J61"/>
    </sortState>
  </autoFilter>
  <mergeCells count="3">
    <mergeCell ref="B2:Q6"/>
    <mergeCell ref="J42:L42"/>
    <mergeCell ref="H45:L47"/>
  </mergeCells>
  <dataValidations disablePrompts="1" count="1">
    <dataValidation type="list" allowBlank="1" showInputMessage="1" showErrorMessage="1" sqref="J42:L42">
      <formula1>$O$39:$O$47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List Box 1">
              <controlPr defaultSize="0" autoLine="0" autoPict="0">
                <anchor moveWithCells="1">
                  <from>
                    <xdr:col>8</xdr:col>
                    <xdr:colOff>561975</xdr:colOff>
                    <xdr:row>36</xdr:row>
                    <xdr:rowOff>47625</xdr:rowOff>
                  </from>
                  <to>
                    <xdr:col>10</xdr:col>
                    <xdr:colOff>152400</xdr:colOff>
                    <xdr:row>38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EXERCÍCIO</vt:lpstr>
      <vt:lpstr>EXERCÍCIO-RESOLVIDO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dcterms:created xsi:type="dcterms:W3CDTF">2015-11-17T16:12:59Z</dcterms:created>
  <dcterms:modified xsi:type="dcterms:W3CDTF">2022-01-24T21:30:07Z</dcterms:modified>
</cp:coreProperties>
</file>