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drawings/drawing3.xml" ContentType="application/vnd.openxmlformats-officedocument.drawing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drawings/drawing4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s\Excel\Excel Avançado\Aula 3 Formulários\"/>
    </mc:Choice>
  </mc:AlternateContent>
  <bookViews>
    <workbookView xWindow="0" yWindow="0" windowWidth="20490" windowHeight="7050" activeTab="1"/>
  </bookViews>
  <sheets>
    <sheet name="CONTEÚDO" sheetId="1" r:id="rId1"/>
    <sheet name="EXPLICAÇÃO" sheetId="4" r:id="rId2"/>
    <sheet name="EXERCÍCIOS (resolvido1)" sheetId="7" state="hidden" r:id="rId3"/>
    <sheet name="EXERCÍCIOS (2)" sheetId="9" state="hidden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" i="4" l="1"/>
  <c r="F24" i="9" l="1"/>
  <c r="M24" i="9" s="1"/>
  <c r="F22" i="9"/>
  <c r="M22" i="9" s="1"/>
  <c r="F20" i="9"/>
  <c r="M20" i="9" s="1"/>
  <c r="G30" i="9" s="1"/>
  <c r="F18" i="9"/>
  <c r="M18" i="9" s="1"/>
  <c r="B2" i="9"/>
  <c r="J16" i="7" l="1"/>
  <c r="B2" i="7"/>
  <c r="I10" i="4" l="1"/>
</calcChain>
</file>

<file path=xl/sharedStrings.xml><?xml version="1.0" encoding="utf-8"?>
<sst xmlns="http://schemas.openxmlformats.org/spreadsheetml/2006/main" count="45" uniqueCount="42">
  <si>
    <t>CONCEITO</t>
  </si>
  <si>
    <t>VOCÊ ESTÁ GOSTANDO DO CURSO:</t>
  </si>
  <si>
    <t>RESPOSTA:</t>
  </si>
  <si>
    <t>BOTÕES E COMANDOS</t>
  </si>
  <si>
    <t>EXERCÍCIO</t>
  </si>
  <si>
    <t>Higiene pessoal</t>
  </si>
  <si>
    <t>Limpeza</t>
  </si>
  <si>
    <t>*NÃO ESQUEÇA DO TIPO DE PAGAMENTO</t>
  </si>
  <si>
    <t>*NÃO ESQUEÇA DE DAR DESCONTO PARA COMPRAS ACIMA DE 1000 REAIS</t>
  </si>
  <si>
    <t>-------------------------------------------------------------------------------------------------------------------------------------------------------------------------------------------------------------------------------</t>
  </si>
  <si>
    <t>*FAÇA UM FORMULÁRIO DE COMPRA DE PRODUTOS DE SUPERMERCADO / USE PRODUTOS DA PLAN. LISTAS</t>
  </si>
  <si>
    <t>Resultado da Compra</t>
  </si>
  <si>
    <t>*NÃO ESQUEÇA DO TIPO DE PAGAMENTO (credito / debito)</t>
  </si>
  <si>
    <t>*NÃO ESQUEÇA DE DAR DESCONTO PARA COMPRAS NO DEBITO (5% DESCONTO)</t>
  </si>
  <si>
    <t>QUANT.</t>
  </si>
  <si>
    <t>TOTAL</t>
  </si>
  <si>
    <t>CHECK</t>
  </si>
  <si>
    <t>PRODUTO</t>
  </si>
  <si>
    <t>INCLUSA</t>
  </si>
  <si>
    <t>NÃO INCLUSA</t>
  </si>
  <si>
    <t>TOTAL FINAL</t>
  </si>
  <si>
    <t>*ADD R$50 SE ENTREGA ESTIVER INCLUSA</t>
  </si>
  <si>
    <t>&lt;------</t>
  </si>
  <si>
    <t>-----&gt;</t>
  </si>
  <si>
    <t>OCULTAR</t>
  </si>
  <si>
    <t>&gt;&gt; ONE-LINER &lt;&lt;</t>
  </si>
  <si>
    <t>&gt;&gt; CONTEÚDO DA AULA &lt;&lt;</t>
  </si>
  <si>
    <t>3. Aplicação</t>
  </si>
  <si>
    <r>
      <t xml:space="preserve">1. Conceito </t>
    </r>
    <r>
      <rPr>
        <i/>
        <sz val="9"/>
        <color rgb="FFCC0066"/>
        <rFont val="Calibri"/>
        <family val="2"/>
        <scheme val="minor"/>
      </rPr>
      <t>(front vs back)</t>
    </r>
  </si>
  <si>
    <r>
      <t xml:space="preserve">2. Utilidade </t>
    </r>
    <r>
      <rPr>
        <i/>
        <sz val="9"/>
        <color rgb="FFCC0066"/>
        <rFont val="Calibri"/>
        <family val="2"/>
        <scheme val="minor"/>
      </rPr>
      <t>(design + condicionamento)</t>
    </r>
  </si>
  <si>
    <t>"A utilização de formulários no front do excel promove um ambiente mais profissional de trabalho e mitiga a possibilidade de erros de terceiros ao preencher sua planilha."</t>
  </si>
  <si>
    <t>Aula 48 - Formulários (front)</t>
  </si>
  <si>
    <t>Botão mais atribuido a macro</t>
  </si>
  <si>
    <t>Fazer lista</t>
  </si>
  <si>
    <t>João</t>
  </si>
  <si>
    <t>Paulo</t>
  </si>
  <si>
    <t>Fernando</t>
  </si>
  <si>
    <t>Vincular botão de opção</t>
  </si>
  <si>
    <t>Pode ser selecionado varias (Retorna Verdadeiro ou Falso</t>
  </si>
  <si>
    <t>Pode ser selecionado um ou outro (retorna numeros)</t>
  </si>
  <si>
    <t>Barra de Rolagem (pode fazer de intervalos em intervalos (10x10)</t>
  </si>
  <si>
    <t>Barra de Rolagem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</si>
</sst>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24"/>
      <color rgb="FF00B050"/>
      <name val="Calibri"/>
      <family val="2"/>
      <scheme val="minor"/>
    </font>
    <font>
      <sz val="8"/>
      <color rgb="FF000000"/>
      <name val="Segoe UI"/>
      <family val="2"/>
    </font>
    <font>
      <b/>
      <sz val="22"/>
      <color rgb="FF002060"/>
      <name val="Segoe UI Light"/>
      <family val="2"/>
    </font>
    <font>
      <b/>
      <i/>
      <sz val="12"/>
      <color rgb="FFE45286"/>
      <name val="Calibri"/>
      <family val="2"/>
      <scheme val="minor"/>
    </font>
    <font>
      <b/>
      <i/>
      <sz val="11"/>
      <color rgb="FF224086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rgb="FFCC0066"/>
      <name val="Calibri"/>
      <family val="2"/>
      <scheme val="minor"/>
    </font>
    <font>
      <b/>
      <i/>
      <sz val="12"/>
      <color rgb="FFEE5286"/>
      <name val="Calibri"/>
      <family val="2"/>
      <scheme val="minor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7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quotePrefix="1"/>
    <xf numFmtId="0" fontId="0" fillId="0" borderId="9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2" xfId="0" applyBorder="1"/>
    <xf numFmtId="0" fontId="8" fillId="0" borderId="0" xfId="0" applyFont="1" applyBorder="1"/>
    <xf numFmtId="0" fontId="0" fillId="0" borderId="0" xfId="0" applyBorder="1"/>
    <xf numFmtId="0" fontId="0" fillId="0" borderId="7" xfId="0" applyBorder="1"/>
    <xf numFmtId="0" fontId="9" fillId="0" borderId="4" xfId="0" applyFont="1" applyBorder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0" fontId="15" fillId="3" borderId="16" xfId="0" applyFont="1" applyFill="1" applyBorder="1"/>
    <xf numFmtId="0" fontId="12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0" fillId="3" borderId="17" xfId="0" applyFill="1" applyBorder="1"/>
    <xf numFmtId="0" fontId="0" fillId="3" borderId="18" xfId="0" applyFill="1" applyBorder="1"/>
    <xf numFmtId="0" fontId="17" fillId="3" borderId="22" xfId="0" applyFont="1" applyFill="1" applyBorder="1"/>
    <xf numFmtId="0" fontId="0" fillId="3" borderId="0" xfId="0" applyFill="1"/>
    <xf numFmtId="0" fontId="17" fillId="3" borderId="0" xfId="0" applyFont="1" applyFill="1"/>
    <xf numFmtId="0" fontId="17" fillId="3" borderId="23" xfId="0" applyFont="1" applyFill="1" applyBorder="1"/>
    <xf numFmtId="0" fontId="17" fillId="3" borderId="19" xfId="0" applyFont="1" applyFill="1" applyBorder="1"/>
    <xf numFmtId="0" fontId="0" fillId="3" borderId="20" xfId="0" applyFill="1" applyBorder="1"/>
    <xf numFmtId="0" fontId="0" fillId="3" borderId="21" xfId="0" applyFill="1" applyBorder="1"/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6" fillId="3" borderId="19" xfId="0" applyFont="1" applyFill="1" applyBorder="1" applyAlignment="1">
      <alignment horizontal="left" wrapText="1"/>
    </xf>
    <xf numFmtId="0" fontId="16" fillId="3" borderId="20" xfId="0" applyFont="1" applyFill="1" applyBorder="1" applyAlignment="1">
      <alignment horizontal="left" wrapText="1"/>
    </xf>
    <xf numFmtId="0" fontId="16" fillId="3" borderId="21" xfId="0" applyFont="1" applyFill="1" applyBorder="1" applyAlignment="1">
      <alignment horizontal="left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9" fillId="2" borderId="14" xfId="0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13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7" fillId="2" borderId="1" xfId="1" applyFont="1" applyFill="1" applyBorder="1" applyAlignment="1">
      <alignment horizontal="center"/>
    </xf>
    <xf numFmtId="44" fontId="7" fillId="2" borderId="2" xfId="1" applyFont="1" applyFill="1" applyBorder="1" applyAlignment="1">
      <alignment horizontal="center"/>
    </xf>
    <xf numFmtId="44" fontId="7" fillId="2" borderId="3" xfId="1" applyFont="1" applyFill="1" applyBorder="1" applyAlignment="1">
      <alignment horizontal="center"/>
    </xf>
    <xf numFmtId="44" fontId="7" fillId="2" borderId="4" xfId="1" applyFont="1" applyFill="1" applyBorder="1" applyAlignment="1">
      <alignment horizontal="center"/>
    </xf>
    <xf numFmtId="44" fontId="7" fillId="2" borderId="0" xfId="1" applyFont="1" applyFill="1" applyBorder="1" applyAlignment="1">
      <alignment horizontal="center"/>
    </xf>
    <xf numFmtId="44" fontId="7" fillId="2" borderId="5" xfId="1" applyFont="1" applyFill="1" applyBorder="1" applyAlignment="1">
      <alignment horizontal="center"/>
    </xf>
    <xf numFmtId="44" fontId="7" fillId="2" borderId="6" xfId="1" applyFont="1" applyFill="1" applyBorder="1" applyAlignment="1">
      <alignment horizontal="center"/>
    </xf>
    <xf numFmtId="44" fontId="7" fillId="2" borderId="7" xfId="1" applyFont="1" applyFill="1" applyBorder="1" applyAlignment="1">
      <alignment horizontal="center"/>
    </xf>
    <xf numFmtId="44" fontId="7" fillId="2" borderId="8" xfId="1" applyFont="1" applyFill="1" applyBorder="1" applyAlignment="1">
      <alignment horizontal="center"/>
    </xf>
    <xf numFmtId="44" fontId="10" fillId="3" borderId="9" xfId="1" applyFont="1" applyFill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0" fillId="0" borderId="0" xfId="0" applyFont="1"/>
    <xf numFmtId="0" fontId="0" fillId="4" borderId="0" xfId="0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EE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Radio" firstButton="1" fmlaLink="$M$11" lockText="1" noThreeD="1"/>
</file>

<file path=xl/ctrlProps/ctrlProp2.xml><?xml version="1.0" encoding="utf-8"?>
<formControlPr xmlns="http://schemas.microsoft.com/office/spreadsheetml/2009/9/main" objectType="Radio" checked="Checked" lockText="1" noThreeD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Drop" dropStyle="combo" dx="16" fmlaLink="$D$28" fmlaRange="$B$28:$B$30" sel="1" val="0"/>
</file>

<file path=xl/ctrlProps/ctrlProp5.xml><?xml version="1.0" encoding="utf-8"?>
<formControlPr xmlns="http://schemas.microsoft.com/office/spreadsheetml/2009/9/main" objectType="CheckBox" fmlaLink="$H$23" lockText="1" noThreeD="1"/>
</file>

<file path=xl/ctrlProps/ctrlProp6.xml><?xml version="1.0" encoding="utf-8"?>
<formControlPr xmlns="http://schemas.microsoft.com/office/spreadsheetml/2009/9/main" objectType="Spin" dx="16" fmlaLink="$P$21" max="100" page="10" val="3"/>
</file>

<file path=xl/ctrlProps/ctrlProp7.xml><?xml version="1.0" encoding="utf-8"?>
<formControlPr xmlns="http://schemas.microsoft.com/office/spreadsheetml/2009/9/main" objectType="List" dx="16" noThreeD="1" sel="0" val="0"/>
</file>

<file path=xl/ctrlProps/ctrlProp8.xml><?xml version="1.0" encoding="utf-8"?>
<formControlPr xmlns="http://schemas.microsoft.com/office/spreadsheetml/2009/9/main" objectType="GBox" noThreeD="1"/>
</file>

<file path=xl/ctrlProps/ctrlProp9.xml><?xml version="1.0" encoding="utf-8"?>
<formControlPr xmlns="http://schemas.microsoft.com/office/spreadsheetml/2009/9/main" objectType="Label" lockText="1"/>
</file>

<file path=xl/ctrlProps/ctrlProp10.xml><?xml version="1.0" encoding="utf-8"?>
<formControlPr xmlns="http://schemas.microsoft.com/office/spreadsheetml/2009/9/main" objectType="Scroll" dx="16" fmlaLink="$P$18" max="50" page="10" val="42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Radio" checked="Checked" firstButton="1" fmlaLink="$H$26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List" dx="16" fmlaLink="$B$22" fmlaRange="#REF!" noThreeD="1" sel="0" val="0"/>
</file>

<file path=xl/ctrlProps/ctrlProp15.xml><?xml version="1.0" encoding="utf-8"?>
<formControlPr xmlns="http://schemas.microsoft.com/office/spreadsheetml/2009/9/main" objectType="List" dx="16" fmlaLink="$E$22" fmlaRange="#REF!" noThreeD="1" sel="0" val="0"/>
</file>

<file path=xl/ctrlProps/ctrlProp16.xml><?xml version="1.0" encoding="utf-8"?>
<formControlPr xmlns="http://schemas.microsoft.com/office/spreadsheetml/2009/9/main" objectType="Radio" firstButton="1" fmlaLink="$H$22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ctrlProps/ctrlProp18.xml><?xml version="1.0" encoding="utf-8"?>
<formControlPr xmlns="http://schemas.microsoft.com/office/spreadsheetml/2009/9/main" objectType="CheckBox" checked="Checked" fmlaLink="$Q$18" lockText="1" noThreeD="1"/>
</file>

<file path=xl/ctrlProps/ctrlProp19.xml><?xml version="1.0" encoding="utf-8"?>
<formControlPr xmlns="http://schemas.microsoft.com/office/spreadsheetml/2009/9/main" objectType="Spin" dx="22" fmlaLink="$K$18" max="30000" page="10" val="4"/>
</file>

<file path=xl/ctrlProps/ctrlProp20.xml><?xml version="1.0" encoding="utf-8"?>
<formControlPr xmlns="http://schemas.microsoft.com/office/spreadsheetml/2009/9/main" objectType="CheckBox" checked="Checked" fmlaLink="$Q$20" lockText="1" noThreeD="1"/>
</file>

<file path=xl/ctrlProps/ctrlProp21.xml><?xml version="1.0" encoding="utf-8"?>
<formControlPr xmlns="http://schemas.microsoft.com/office/spreadsheetml/2009/9/main" objectType="Spin" dx="22" fmlaLink="$K$20" max="30000" page="10" val="6"/>
</file>

<file path=xl/ctrlProps/ctrlProp22.xml><?xml version="1.0" encoding="utf-8"?>
<formControlPr xmlns="http://schemas.microsoft.com/office/spreadsheetml/2009/9/main" objectType="CheckBox" checked="Checked" fmlaLink="$Q$22" lockText="1" noThreeD="1"/>
</file>

<file path=xl/ctrlProps/ctrlProp23.xml><?xml version="1.0" encoding="utf-8"?>
<formControlPr xmlns="http://schemas.microsoft.com/office/spreadsheetml/2009/9/main" objectType="Spin" dx="22" fmlaLink="$K$22" max="30000" page="10" val="0"/>
</file>

<file path=xl/ctrlProps/ctrlProp24.xml><?xml version="1.0" encoding="utf-8"?>
<formControlPr xmlns="http://schemas.microsoft.com/office/spreadsheetml/2009/9/main" objectType="CheckBox" checked="Checked" fmlaLink="$Q$24" lockText="1" noThreeD="1"/>
</file>

<file path=xl/ctrlProps/ctrlProp25.xml><?xml version="1.0" encoding="utf-8"?>
<formControlPr xmlns="http://schemas.microsoft.com/office/spreadsheetml/2009/9/main" objectType="Spin" dx="22" fmlaLink="$K$24" max="30000" page="10" val="2"/>
</file>

<file path=xl/ctrlProps/ctrlProp26.xml><?xml version="1.0" encoding="utf-8"?>
<formControlPr xmlns="http://schemas.microsoft.com/office/spreadsheetml/2009/9/main" objectType="GBox" noThreeD="1"/>
</file>

<file path=xl/ctrlProps/ctrlProp27.xml><?xml version="1.0" encoding="utf-8"?>
<formControlPr xmlns="http://schemas.microsoft.com/office/spreadsheetml/2009/9/main" objectType="Radio" checked="Checked" firstButton="1" fmlaLink="$S$22" lockText="1" noThreeD="1"/>
</file>

<file path=xl/ctrlProps/ctrlProp28.xml><?xml version="1.0" encoding="utf-8"?>
<formControlPr xmlns="http://schemas.microsoft.com/office/spreadsheetml/2009/9/main" objectType="Radio" lockText="1" noThreeD="1"/>
</file>

<file path=xl/ctrlProps/ctrlProp29.xml><?xml version="1.0" encoding="utf-8"?>
<formControlPr xmlns="http://schemas.microsoft.com/office/spreadsheetml/2009/9/main" objectType="GBox" noThreeD="1"/>
</file>

<file path=xl/ctrlProps/ctrlProp30.xml><?xml version="1.0" encoding="utf-8"?>
<formControlPr xmlns="http://schemas.microsoft.com/office/spreadsheetml/2009/9/main" objectType="Drop" dropStyle="combo" dx="16" fmlaLink="$S$20" fmlaRange="$S$18:$S$19" noThreeD="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48100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8</xdr:row>
      <xdr:rowOff>19050</xdr:rowOff>
    </xdr:from>
    <xdr:to>
      <xdr:col>5</xdr:col>
      <xdr:colOff>438150</xdr:colOff>
      <xdr:row>11</xdr:row>
      <xdr:rowOff>19050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790825" y="1552575"/>
          <a:ext cx="695325" cy="581025"/>
        </a:xfrm>
        <a:prstGeom prst="rect">
          <a:avLst/>
        </a:prstGeom>
        <a:noFill/>
        <a:ln w="31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8</xdr:row>
          <xdr:rowOff>85725</xdr:rowOff>
        </xdr:from>
        <xdr:to>
          <xdr:col>6</xdr:col>
          <xdr:colOff>247650</xdr:colOff>
          <xdr:row>9</xdr:row>
          <xdr:rowOff>104775</xdr:rowOff>
        </xdr:to>
        <xdr:sp macro="" textlink="">
          <xdr:nvSpPr>
            <xdr:cNvPr id="2049" name="Option 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SIM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9</xdr:row>
          <xdr:rowOff>142875</xdr:rowOff>
        </xdr:from>
        <xdr:to>
          <xdr:col>6</xdr:col>
          <xdr:colOff>247650</xdr:colOff>
          <xdr:row>10</xdr:row>
          <xdr:rowOff>171450</xdr:rowOff>
        </xdr:to>
        <xdr:sp macro="" textlink="">
          <xdr:nvSpPr>
            <xdr:cNvPr id="2050" name="Option 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66675</xdr:colOff>
          <xdr:row>15</xdr:row>
          <xdr:rowOff>152400</xdr:rowOff>
        </xdr:from>
        <xdr:to>
          <xdr:col>2</xdr:col>
          <xdr:colOff>523875</xdr:colOff>
          <xdr:row>17</xdr:row>
          <xdr:rowOff>152400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ENVIAR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19</xdr:row>
          <xdr:rowOff>57150</xdr:rowOff>
        </xdr:from>
        <xdr:to>
          <xdr:col>2</xdr:col>
          <xdr:colOff>552450</xdr:colOff>
          <xdr:row>20</xdr:row>
          <xdr:rowOff>104775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21</xdr:row>
          <xdr:rowOff>9525</xdr:rowOff>
        </xdr:from>
        <xdr:to>
          <xdr:col>6</xdr:col>
          <xdr:colOff>523875</xdr:colOff>
          <xdr:row>22</xdr:row>
          <xdr:rowOff>38100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Caixa de seleção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209550</xdr:colOff>
          <xdr:row>19</xdr:row>
          <xdr:rowOff>76199</xdr:rowOff>
        </xdr:from>
        <xdr:to>
          <xdr:col>14</xdr:col>
          <xdr:colOff>571500</xdr:colOff>
          <xdr:row>22</xdr:row>
          <xdr:rowOff>47624</xdr:rowOff>
        </xdr:to>
        <xdr:sp macro="" textlink="">
          <xdr:nvSpPr>
            <xdr:cNvPr id="2054" name="Spinner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161925</xdr:colOff>
          <xdr:row>21</xdr:row>
          <xdr:rowOff>76200</xdr:rowOff>
        </xdr:from>
        <xdr:to>
          <xdr:col>2</xdr:col>
          <xdr:colOff>504825</xdr:colOff>
          <xdr:row>26</xdr:row>
          <xdr:rowOff>47625</xdr:rowOff>
        </xdr:to>
        <xdr:sp macro="" textlink="">
          <xdr:nvSpPr>
            <xdr:cNvPr id="2055" name="List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23</xdr:row>
          <xdr:rowOff>133350</xdr:rowOff>
        </xdr:from>
        <xdr:to>
          <xdr:col>6</xdr:col>
          <xdr:colOff>342900</xdr:colOff>
          <xdr:row>26</xdr:row>
          <xdr:rowOff>142875</xdr:rowOff>
        </xdr:to>
        <xdr:sp macro="" textlink="">
          <xdr:nvSpPr>
            <xdr:cNvPr id="2057" name="Group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Caixa de grupo 9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600075</xdr:colOff>
          <xdr:row>14</xdr:row>
          <xdr:rowOff>9525</xdr:rowOff>
        </xdr:from>
        <xdr:to>
          <xdr:col>13</xdr:col>
          <xdr:colOff>133350</xdr:colOff>
          <xdr:row>15</xdr:row>
          <xdr:rowOff>76200</xdr:rowOff>
        </xdr:to>
        <xdr:sp macro="" textlink="">
          <xdr:nvSpPr>
            <xdr:cNvPr id="2058" name="Labe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Rótulo 10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342900</xdr:colOff>
          <xdr:row>15</xdr:row>
          <xdr:rowOff>142875</xdr:rowOff>
        </xdr:from>
        <xdr:to>
          <xdr:col>14</xdr:col>
          <xdr:colOff>533400</xdr:colOff>
          <xdr:row>18</xdr:row>
          <xdr:rowOff>142875</xdr:rowOff>
        </xdr:to>
        <xdr:sp macro="" textlink="">
          <xdr:nvSpPr>
            <xdr:cNvPr id="2059" name="Scroll Bar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6</xdr:col>
      <xdr:colOff>114300</xdr:colOff>
      <xdr:row>4</xdr:row>
      <xdr:rowOff>66675</xdr:rowOff>
    </xdr:from>
    <xdr:ext cx="3200000" cy="257143"/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828675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23" name="Imagem 2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495300</xdr:colOff>
          <xdr:row>22</xdr:row>
          <xdr:rowOff>66675</xdr:rowOff>
        </xdr:from>
        <xdr:to>
          <xdr:col>6</xdr:col>
          <xdr:colOff>523875</xdr:colOff>
          <xdr:row>23</xdr:row>
          <xdr:rowOff>95250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Caixa de seleção 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24</xdr:row>
          <xdr:rowOff>38100</xdr:rowOff>
        </xdr:from>
        <xdr:to>
          <xdr:col>6</xdr:col>
          <xdr:colOff>76200</xdr:colOff>
          <xdr:row>25</xdr:row>
          <xdr:rowOff>66675</xdr:rowOff>
        </xdr:to>
        <xdr:sp macro="" textlink="">
          <xdr:nvSpPr>
            <xdr:cNvPr id="2064" name="Option Button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Botão de opção 16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533400</xdr:colOff>
          <xdr:row>25</xdr:row>
          <xdr:rowOff>47625</xdr:rowOff>
        </xdr:from>
        <xdr:to>
          <xdr:col>6</xdr:col>
          <xdr:colOff>76200</xdr:colOff>
          <xdr:row>26</xdr:row>
          <xdr:rowOff>76200</xdr:rowOff>
        </xdr:to>
        <xdr:sp macro="" textlink="">
          <xdr:nvSpPr>
            <xdr:cNvPr id="2065" name="Option Button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Botão de opção 16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424451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14</xdr:row>
          <xdr:rowOff>28575</xdr:rowOff>
        </xdr:from>
        <xdr:to>
          <xdr:col>3</xdr:col>
          <xdr:colOff>161925</xdr:colOff>
          <xdr:row>20</xdr:row>
          <xdr:rowOff>161925</xdr:rowOff>
        </xdr:to>
        <xdr:sp macro="" textlink="">
          <xdr:nvSpPr>
            <xdr:cNvPr id="5121" name="List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14</xdr:row>
          <xdr:rowOff>19050</xdr:rowOff>
        </xdr:from>
        <xdr:to>
          <xdr:col>6</xdr:col>
          <xdr:colOff>104775</xdr:colOff>
          <xdr:row>20</xdr:row>
          <xdr:rowOff>152400</xdr:rowOff>
        </xdr:to>
        <xdr:sp macro="" textlink="">
          <xdr:nvSpPr>
            <xdr:cNvPr id="5122" name="List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14</xdr:row>
          <xdr:rowOff>95250</xdr:rowOff>
        </xdr:from>
        <xdr:to>
          <xdr:col>7</xdr:col>
          <xdr:colOff>561975</xdr:colOff>
          <xdr:row>15</xdr:row>
          <xdr:rowOff>180975</xdr:rowOff>
        </xdr:to>
        <xdr:sp macro="" textlink="">
          <xdr:nvSpPr>
            <xdr:cNvPr id="5123" name="Option Button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Crédito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523875</xdr:colOff>
          <xdr:row>16</xdr:row>
          <xdr:rowOff>95250</xdr:rowOff>
        </xdr:from>
        <xdr:to>
          <xdr:col>7</xdr:col>
          <xdr:colOff>561975</xdr:colOff>
          <xdr:row>17</xdr:row>
          <xdr:rowOff>152400</xdr:rowOff>
        </xdr:to>
        <xdr:sp macro="" textlink="">
          <xdr:nvSpPr>
            <xdr:cNvPr id="5124" name="Option Button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Débito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180975</xdr:rowOff>
    </xdr:from>
    <xdr:to>
      <xdr:col>4</xdr:col>
      <xdr:colOff>424451</xdr:colOff>
      <xdr:row>5</xdr:row>
      <xdr:rowOff>28575</xdr:rowOff>
    </xdr:to>
    <xdr:pic>
      <xdr:nvPicPr>
        <xdr:cNvPr id="2" name="Imagem 1" descr="LOGO.bmp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371475"/>
          <a:ext cx="2138951" cy="60960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16</xdr:row>
          <xdr:rowOff>142875</xdr:rowOff>
        </xdr:from>
        <xdr:to>
          <xdr:col>4</xdr:col>
          <xdr:colOff>447675</xdr:colOff>
          <xdr:row>18</xdr:row>
          <xdr:rowOff>47625</xdr:rowOff>
        </xdr:to>
        <xdr:sp macro="" textlink="">
          <xdr:nvSpPr>
            <xdr:cNvPr id="7169" name="Check Box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4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16</xdr:row>
          <xdr:rowOff>180975</xdr:rowOff>
        </xdr:from>
        <xdr:to>
          <xdr:col>11</xdr:col>
          <xdr:colOff>371475</xdr:colOff>
          <xdr:row>18</xdr:row>
          <xdr:rowOff>0</xdr:rowOff>
        </xdr:to>
        <xdr:sp macro="" textlink="">
          <xdr:nvSpPr>
            <xdr:cNvPr id="7170" name="Spinner 2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4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18</xdr:row>
          <xdr:rowOff>142875</xdr:rowOff>
        </xdr:from>
        <xdr:to>
          <xdr:col>4</xdr:col>
          <xdr:colOff>447675</xdr:colOff>
          <xdr:row>20</xdr:row>
          <xdr:rowOff>47625</xdr:rowOff>
        </xdr:to>
        <xdr:sp macro="" textlink="">
          <xdr:nvSpPr>
            <xdr:cNvPr id="7171" name="Check Box 3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4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18</xdr:row>
          <xdr:rowOff>180975</xdr:rowOff>
        </xdr:from>
        <xdr:to>
          <xdr:col>11</xdr:col>
          <xdr:colOff>371475</xdr:colOff>
          <xdr:row>20</xdr:row>
          <xdr:rowOff>0</xdr:rowOff>
        </xdr:to>
        <xdr:sp macro="" textlink="">
          <xdr:nvSpPr>
            <xdr:cNvPr id="7172" name="Spinner 4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4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20</xdr:row>
          <xdr:rowOff>142875</xdr:rowOff>
        </xdr:from>
        <xdr:to>
          <xdr:col>4</xdr:col>
          <xdr:colOff>447675</xdr:colOff>
          <xdr:row>22</xdr:row>
          <xdr:rowOff>47625</xdr:rowOff>
        </xdr:to>
        <xdr:sp macro="" textlink="">
          <xdr:nvSpPr>
            <xdr:cNvPr id="7173" name="Check Box 5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4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20</xdr:row>
          <xdr:rowOff>180975</xdr:rowOff>
        </xdr:from>
        <xdr:to>
          <xdr:col>11</xdr:col>
          <xdr:colOff>371475</xdr:colOff>
          <xdr:row>22</xdr:row>
          <xdr:rowOff>0</xdr:rowOff>
        </xdr:to>
        <xdr:sp macro="" textlink="">
          <xdr:nvSpPr>
            <xdr:cNvPr id="7174" name="Spinner 6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4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171450</xdr:colOff>
          <xdr:row>22</xdr:row>
          <xdr:rowOff>142875</xdr:rowOff>
        </xdr:from>
        <xdr:to>
          <xdr:col>4</xdr:col>
          <xdr:colOff>447675</xdr:colOff>
          <xdr:row>24</xdr:row>
          <xdr:rowOff>47625</xdr:rowOff>
        </xdr:to>
        <xdr:sp macro="" textlink="">
          <xdr:nvSpPr>
            <xdr:cNvPr id="7175" name="Check Box 7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4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</xdr:colOff>
          <xdr:row>22</xdr:row>
          <xdr:rowOff>180975</xdr:rowOff>
        </xdr:from>
        <xdr:to>
          <xdr:col>11</xdr:col>
          <xdr:colOff>371475</xdr:colOff>
          <xdr:row>24</xdr:row>
          <xdr:rowOff>0</xdr:rowOff>
        </xdr:to>
        <xdr:sp macro="" textlink="">
          <xdr:nvSpPr>
            <xdr:cNvPr id="7176" name="Spinner 8" hidden="1">
              <a:extLst>
                <a:ext uri="{63B3BB69-23CF-44E3-9099-C40C66FF867C}">
                  <a14:compatExt spid="_x0000_s7176"/>
                </a:ext>
                <a:ext uri="{FF2B5EF4-FFF2-40B4-BE49-F238E27FC236}">
                  <a16:creationId xmlns:a16="http://schemas.microsoft.com/office/drawing/2014/main" id="{00000000-0008-0000-0400-00000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581025</xdr:colOff>
          <xdr:row>24</xdr:row>
          <xdr:rowOff>180975</xdr:rowOff>
        </xdr:from>
        <xdr:to>
          <xdr:col>8</xdr:col>
          <xdr:colOff>104775</xdr:colOff>
          <xdr:row>28</xdr:row>
          <xdr:rowOff>9525</xdr:rowOff>
        </xdr:to>
        <xdr:sp macro="" textlink="">
          <xdr:nvSpPr>
            <xdr:cNvPr id="7177" name="Group Box 9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4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FORMA DE PAGAMENTO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152400</xdr:colOff>
          <xdr:row>26</xdr:row>
          <xdr:rowOff>66675</xdr:rowOff>
        </xdr:from>
        <xdr:to>
          <xdr:col>6</xdr:col>
          <xdr:colOff>19050</xdr:colOff>
          <xdr:row>27</xdr:row>
          <xdr:rowOff>95250</xdr:rowOff>
        </xdr:to>
        <xdr:sp macro="" textlink="">
          <xdr:nvSpPr>
            <xdr:cNvPr id="7178" name="Option Button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4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DÉBITO (-5%)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26</xdr:row>
          <xdr:rowOff>66675</xdr:rowOff>
        </xdr:from>
        <xdr:to>
          <xdr:col>7</xdr:col>
          <xdr:colOff>590550</xdr:colOff>
          <xdr:row>27</xdr:row>
          <xdr:rowOff>95250</xdr:rowOff>
        </xdr:to>
        <xdr:sp macro="" textlink="">
          <xdr:nvSpPr>
            <xdr:cNvPr id="7179" name="Option Button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4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CRÉDITO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171450</xdr:colOff>
          <xdr:row>24</xdr:row>
          <xdr:rowOff>171450</xdr:rowOff>
        </xdr:from>
        <xdr:to>
          <xdr:col>11</xdr:col>
          <xdr:colOff>552450</xdr:colOff>
          <xdr:row>28</xdr:row>
          <xdr:rowOff>0</xdr:rowOff>
        </xdr:to>
        <xdr:sp macro="" textlink="">
          <xdr:nvSpPr>
            <xdr:cNvPr id="7180" name="Group Box 12" hidden="1">
              <a:extLst>
                <a:ext uri="{63B3BB69-23CF-44E3-9099-C40C66FF867C}">
                  <a14:compatExt spid="_x0000_s7180"/>
                </a:ext>
                <a:ext uri="{FF2B5EF4-FFF2-40B4-BE49-F238E27FC236}">
                  <a16:creationId xmlns:a16="http://schemas.microsoft.com/office/drawing/2014/main" id="{00000000-0008-0000-0400-00000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ENTREGA INCLUSA?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504825</xdr:colOff>
          <xdr:row>26</xdr:row>
          <xdr:rowOff>38100</xdr:rowOff>
        </xdr:from>
        <xdr:to>
          <xdr:col>11</xdr:col>
          <xdr:colOff>219075</xdr:colOff>
          <xdr:row>27</xdr:row>
          <xdr:rowOff>85725</xdr:rowOff>
        </xdr:to>
        <xdr:sp macro="" textlink="">
          <xdr:nvSpPr>
            <xdr:cNvPr id="7181" name="Drop Down 13" hidden="1">
              <a:extLst>
                <a:ext uri="{63B3BB69-23CF-44E3-9099-C40C66FF867C}">
                  <a14:compatExt spid="_x0000_s7181"/>
                </a:ext>
                <a:ext uri="{FF2B5EF4-FFF2-40B4-BE49-F238E27FC236}">
                  <a16:creationId xmlns:a16="http://schemas.microsoft.com/office/drawing/2014/main" id="{00000000-0008-0000-0400-00000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13" Type="http://schemas.openxmlformats.org/officeDocument/2006/relationships/ctrlProp" Target="../ctrlProps/ctrlProp11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12" Type="http://schemas.openxmlformats.org/officeDocument/2006/relationships/ctrlProp" Target="../ctrlProps/ctrlProp10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5" Type="http://schemas.openxmlformats.org/officeDocument/2006/relationships/ctrlProp" Target="../ctrlProps/ctrlProp1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Relationship Id="rId14" Type="http://schemas.openxmlformats.org/officeDocument/2006/relationships/ctrlProp" Target="../ctrlProps/ctrlProp1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13" Type="http://schemas.openxmlformats.org/officeDocument/2006/relationships/ctrlProp" Target="../ctrlProps/ctrlProp28.xml"/><Relationship Id="rId3" Type="http://schemas.openxmlformats.org/officeDocument/2006/relationships/ctrlProp" Target="../ctrlProps/ctrlProp18.x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5" Type="http://schemas.openxmlformats.org/officeDocument/2006/relationships/ctrlProp" Target="../ctrlProps/ctrlProp3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Relationship Id="rId14" Type="http://schemas.openxmlformats.org/officeDocument/2006/relationships/ctrlProp" Target="../ctrlProps/ctrlProp2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4"/>
  <sheetViews>
    <sheetView showGridLines="0" workbookViewId="0">
      <selection activeCell="G11" sqref="G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2" t="s">
        <v>31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7" spans="2:17" ht="15.75" thickBot="1" x14ac:dyDescent="0.3"/>
    <row r="8" spans="2:17" ht="18" customHeight="1" x14ac:dyDescent="0.25">
      <c r="B8" s="20" t="s">
        <v>25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2"/>
    </row>
    <row r="9" spans="2:17" ht="31.5" customHeight="1" x14ac:dyDescent="0.25">
      <c r="B9" s="41" t="s">
        <v>30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</row>
    <row r="10" spans="2:17" ht="6.75" customHeight="1" thickBot="1" x14ac:dyDescent="0.3"/>
    <row r="11" spans="2:17" ht="15.75" x14ac:dyDescent="0.25">
      <c r="B11" s="20" t="s">
        <v>26</v>
      </c>
      <c r="C11" s="23"/>
      <c r="D11" s="23"/>
      <c r="E11" s="24"/>
    </row>
    <row r="12" spans="2:17" x14ac:dyDescent="0.25">
      <c r="B12" s="25" t="s">
        <v>28</v>
      </c>
      <c r="C12" s="26"/>
      <c r="D12" s="27"/>
      <c r="E12" s="28"/>
    </row>
    <row r="13" spans="2:17" x14ac:dyDescent="0.25">
      <c r="B13" s="25" t="s">
        <v>29</v>
      </c>
      <c r="C13" s="26"/>
      <c r="D13" s="27"/>
      <c r="E13" s="28"/>
    </row>
    <row r="14" spans="2:17" x14ac:dyDescent="0.25">
      <c r="B14" s="29" t="s">
        <v>27</v>
      </c>
      <c r="C14" s="30"/>
      <c r="D14" s="30"/>
      <c r="E14" s="31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30"/>
  <sheetViews>
    <sheetView showGridLines="0" tabSelected="1" workbookViewId="0">
      <selection activeCell="Q28" sqref="Q28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2" t="str">
        <f>CONTEÚDO!B2</f>
        <v>Aula 48 - Formulários (front)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8" spans="2:17" ht="15.75" x14ac:dyDescent="0.25">
      <c r="B8" s="17" t="s">
        <v>0</v>
      </c>
    </row>
    <row r="9" spans="2:17" ht="15.75" thickBot="1" x14ac:dyDescent="0.3"/>
    <row r="10" spans="2:17" x14ac:dyDescent="0.25">
      <c r="B10" s="18" t="s">
        <v>1</v>
      </c>
      <c r="H10" s="19" t="s">
        <v>2</v>
      </c>
      <c r="I10" s="44" t="str">
        <f>IF(M11=1,"OBRIGADO!","VOCÊ ESTÁ MENTINDO, NÃO É POSSÍVEL...")</f>
        <v>VOCÊ ESTÁ MENTINDO, NÃO É POSSÍVEL...</v>
      </c>
      <c r="J10" s="45"/>
      <c r="K10" s="46"/>
    </row>
    <row r="11" spans="2:17" x14ac:dyDescent="0.25">
      <c r="I11" s="47"/>
      <c r="J11" s="48"/>
      <c r="K11" s="49"/>
      <c r="M11" s="70">
        <v>2</v>
      </c>
    </row>
    <row r="13" spans="2:17" x14ac:dyDescent="0.25">
      <c r="B13" s="3" t="s">
        <v>9</v>
      </c>
    </row>
    <row r="14" spans="2:17" x14ac:dyDescent="0.25">
      <c r="B14" s="3"/>
    </row>
    <row r="15" spans="2:17" ht="15.75" x14ac:dyDescent="0.25">
      <c r="B15" s="17" t="s">
        <v>3</v>
      </c>
    </row>
    <row r="17" spans="2:16" x14ac:dyDescent="0.25">
      <c r="D17" t="s">
        <v>32</v>
      </c>
      <c r="I17" t="s">
        <v>37</v>
      </c>
      <c r="P17" t="s">
        <v>40</v>
      </c>
    </row>
    <row r="18" spans="2:16" x14ac:dyDescent="0.25">
      <c r="P18" s="71">
        <v>42</v>
      </c>
    </row>
    <row r="20" spans="2:16" x14ac:dyDescent="0.25">
      <c r="D20" t="s">
        <v>33</v>
      </c>
      <c r="P20" t="s">
        <v>41</v>
      </c>
    </row>
    <row r="21" spans="2:16" x14ac:dyDescent="0.25">
      <c r="P21" s="71">
        <v>3</v>
      </c>
    </row>
    <row r="22" spans="2:16" x14ac:dyDescent="0.25">
      <c r="D22" t="s">
        <v>33</v>
      </c>
      <c r="H22" t="s">
        <v>38</v>
      </c>
    </row>
    <row r="23" spans="2:16" x14ac:dyDescent="0.25">
      <c r="B23" s="3"/>
      <c r="H23" s="71" t="b">
        <v>0</v>
      </c>
    </row>
    <row r="24" spans="2:16" x14ac:dyDescent="0.25">
      <c r="B24" s="3"/>
    </row>
    <row r="25" spans="2:16" x14ac:dyDescent="0.25">
      <c r="H25" t="s">
        <v>39</v>
      </c>
    </row>
    <row r="26" spans="2:16" x14ac:dyDescent="0.25">
      <c r="H26" s="71">
        <v>1</v>
      </c>
    </row>
    <row r="28" spans="2:16" x14ac:dyDescent="0.25">
      <c r="B28" s="71" t="s">
        <v>34</v>
      </c>
      <c r="C28" s="71"/>
      <c r="D28" s="71">
        <v>1</v>
      </c>
    </row>
    <row r="29" spans="2:16" x14ac:dyDescent="0.25">
      <c r="B29" s="71" t="s">
        <v>35</v>
      </c>
      <c r="C29" s="71"/>
      <c r="D29" s="71"/>
    </row>
    <row r="30" spans="2:16" x14ac:dyDescent="0.25">
      <c r="B30" s="71" t="s">
        <v>36</v>
      </c>
      <c r="C30" s="71"/>
      <c r="D30" s="71"/>
    </row>
  </sheetData>
  <mergeCells count="2">
    <mergeCell ref="B2:Q6"/>
    <mergeCell ref="I10:K11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Option Button 1">
              <controlPr defaultSize="0" autoFill="0" autoLine="0" autoPict="0">
                <anchor moveWithCells="1">
                  <from>
                    <xdr:col>4</xdr:col>
                    <xdr:colOff>457200</xdr:colOff>
                    <xdr:row>8</xdr:row>
                    <xdr:rowOff>85725</xdr:rowOff>
                  </from>
                  <to>
                    <xdr:col>6</xdr:col>
                    <xdr:colOff>247650</xdr:colOff>
                    <xdr:row>9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4" name="Option Button 2">
              <controlPr defaultSize="0" autoFill="0" autoLine="0" autoPict="0">
                <anchor moveWithCells="1">
                  <from>
                    <xdr:col>4</xdr:col>
                    <xdr:colOff>457200</xdr:colOff>
                    <xdr:row>9</xdr:row>
                    <xdr:rowOff>142875</xdr:rowOff>
                  </from>
                  <to>
                    <xdr:col>6</xdr:col>
                    <xdr:colOff>247650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5" name="Button 3">
              <controlPr defaultSize="0" print="0" autoFill="0" autoPict="0">
                <anchor moveWithCells="1" sizeWithCells="1">
                  <from>
                    <xdr:col>1</xdr:col>
                    <xdr:colOff>66675</xdr:colOff>
                    <xdr:row>15</xdr:row>
                    <xdr:rowOff>152400</xdr:rowOff>
                  </from>
                  <to>
                    <xdr:col>2</xdr:col>
                    <xdr:colOff>523875</xdr:colOff>
                    <xdr:row>17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6" name="Drop Down 4">
              <controlPr defaultSize="0" autoLine="0" autoPict="0">
                <anchor moveWithCells="1">
                  <from>
                    <xdr:col>1</xdr:col>
                    <xdr:colOff>85725</xdr:colOff>
                    <xdr:row>19</xdr:row>
                    <xdr:rowOff>57150</xdr:rowOff>
                  </from>
                  <to>
                    <xdr:col>2</xdr:col>
                    <xdr:colOff>552450</xdr:colOff>
                    <xdr:row>20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7" name="Check Box 5">
              <controlPr defaultSize="0" autoFill="0" autoLine="0" autoPict="0">
                <anchor moveWithCells="1">
                  <from>
                    <xdr:col>4</xdr:col>
                    <xdr:colOff>495300</xdr:colOff>
                    <xdr:row>21</xdr:row>
                    <xdr:rowOff>9525</xdr:rowOff>
                  </from>
                  <to>
                    <xdr:col>6</xdr:col>
                    <xdr:colOff>523875</xdr:colOff>
                    <xdr:row>22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8" name="Spinner 6">
              <controlPr defaultSize="0" autoPict="0">
                <anchor moveWithCells="1" sizeWithCells="1">
                  <from>
                    <xdr:col>14</xdr:col>
                    <xdr:colOff>209550</xdr:colOff>
                    <xdr:row>19</xdr:row>
                    <xdr:rowOff>76200</xdr:rowOff>
                  </from>
                  <to>
                    <xdr:col>14</xdr:col>
                    <xdr:colOff>571500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9" name="List Box 7">
              <controlPr defaultSize="0" autoLine="0" autoPict="0">
                <anchor moveWithCells="1">
                  <from>
                    <xdr:col>1</xdr:col>
                    <xdr:colOff>161925</xdr:colOff>
                    <xdr:row>21</xdr:row>
                    <xdr:rowOff>76200</xdr:rowOff>
                  </from>
                  <to>
                    <xdr:col>2</xdr:col>
                    <xdr:colOff>504825</xdr:colOff>
                    <xdr:row>26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0" name="Group Box 9">
              <controlPr defaultSize="0" autoFill="0" autoPict="0">
                <anchor moveWithCells="1">
                  <from>
                    <xdr:col>4</xdr:col>
                    <xdr:colOff>457200</xdr:colOff>
                    <xdr:row>23</xdr:row>
                    <xdr:rowOff>133350</xdr:rowOff>
                  </from>
                  <to>
                    <xdr:col>6</xdr:col>
                    <xdr:colOff>342900</xdr:colOff>
                    <xdr:row>26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1" name="Label 10">
              <controlPr defaultSize="0" autoFill="0" autoLine="0" autoPict="0">
                <anchor moveWithCells="1" sizeWithCells="1">
                  <from>
                    <xdr:col>11</xdr:col>
                    <xdr:colOff>600075</xdr:colOff>
                    <xdr:row>14</xdr:row>
                    <xdr:rowOff>9525</xdr:rowOff>
                  </from>
                  <to>
                    <xdr:col>13</xdr:col>
                    <xdr:colOff>133350</xdr:colOff>
                    <xdr:row>15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2" name="Scroll Bar 11">
              <controlPr defaultSize="0" autoPict="0">
                <anchor moveWithCells="1">
                  <from>
                    <xdr:col>14</xdr:col>
                    <xdr:colOff>342900</xdr:colOff>
                    <xdr:row>15</xdr:row>
                    <xdr:rowOff>142875</xdr:rowOff>
                  </from>
                  <to>
                    <xdr:col>14</xdr:col>
                    <xdr:colOff>533400</xdr:colOff>
                    <xdr:row>18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3" name="Check Box 14">
              <controlPr defaultSize="0" autoFill="0" autoLine="0" autoPict="0">
                <anchor moveWithCells="1">
                  <from>
                    <xdr:col>4</xdr:col>
                    <xdr:colOff>495300</xdr:colOff>
                    <xdr:row>22</xdr:row>
                    <xdr:rowOff>66675</xdr:rowOff>
                  </from>
                  <to>
                    <xdr:col>6</xdr:col>
                    <xdr:colOff>523875</xdr:colOff>
                    <xdr:row>23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4" name="Option Button 16">
              <controlPr defaultSize="0" autoFill="0" autoLine="0" autoPict="0">
                <anchor moveWithCells="1">
                  <from>
                    <xdr:col>4</xdr:col>
                    <xdr:colOff>533400</xdr:colOff>
                    <xdr:row>24</xdr:row>
                    <xdr:rowOff>38100</xdr:rowOff>
                  </from>
                  <to>
                    <xdr:col>6</xdr:col>
                    <xdr:colOff>76200</xdr:colOff>
                    <xdr:row>25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15" name="Option Button 17">
              <controlPr defaultSize="0" autoFill="0" autoLine="0" autoPict="0">
                <anchor moveWithCells="1">
                  <from>
                    <xdr:col>4</xdr:col>
                    <xdr:colOff>533400</xdr:colOff>
                    <xdr:row>25</xdr:row>
                    <xdr:rowOff>47625</xdr:rowOff>
                  </from>
                  <to>
                    <xdr:col>6</xdr:col>
                    <xdr:colOff>76200</xdr:colOff>
                    <xdr:row>26</xdr:row>
                    <xdr:rowOff>76200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Q22"/>
  <sheetViews>
    <sheetView showGridLines="0" topLeftCell="A7" workbookViewId="0">
      <selection activeCell="J27" sqref="J27"/>
    </sheetView>
  </sheetViews>
  <sheetFormatPr defaultRowHeight="15" x14ac:dyDescent="0.25"/>
  <sheetData>
    <row r="2" spans="2:17" x14ac:dyDescent="0.25">
      <c r="B2" s="50" t="str">
        <f>CONTEÚDO!B2</f>
        <v>Aula 48 - Formulários (front)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2:17" x14ac:dyDescent="0.25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2:17" x14ac:dyDescent="0.25"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5"/>
    </row>
    <row r="5" spans="2:17" x14ac:dyDescent="0.25"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</row>
    <row r="6" spans="2:17" x14ac:dyDescent="0.25"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8"/>
    </row>
    <row r="8" spans="2:17" x14ac:dyDescent="0.25">
      <c r="B8" s="1" t="s">
        <v>4</v>
      </c>
    </row>
    <row r="10" spans="2:17" x14ac:dyDescent="0.25">
      <c r="B10" t="s">
        <v>10</v>
      </c>
    </row>
    <row r="11" spans="2:17" x14ac:dyDescent="0.25">
      <c r="B11" t="s">
        <v>7</v>
      </c>
    </row>
    <row r="12" spans="2:17" x14ac:dyDescent="0.25">
      <c r="B12" t="s">
        <v>8</v>
      </c>
    </row>
    <row r="14" spans="2:17" ht="15.75" x14ac:dyDescent="0.25">
      <c r="B14" s="2" t="s">
        <v>5</v>
      </c>
      <c r="E14" s="2" t="s">
        <v>6</v>
      </c>
    </row>
    <row r="15" spans="2:17" x14ac:dyDescent="0.25">
      <c r="J15" t="s">
        <v>11</v>
      </c>
    </row>
    <row r="16" spans="2:17" x14ac:dyDescent="0.25">
      <c r="J16" s="59" t="e">
        <f>IF(H22=1,VLOOKUP(B22,#REF!,3,0)+VLOOKUP('EXERCÍCIOS (resolvido1)'!E22,#REF!,3,0),VLOOKUP(B22,#REF!,3,0)+VLOOKUP('EXERCÍCIOS (resolvido1)'!E22,#REF!,3,0)*0.95)</f>
        <v>#REF!</v>
      </c>
      <c r="K16" s="60"/>
      <c r="L16" s="60"/>
      <c r="M16" s="61"/>
    </row>
    <row r="17" spans="2:13" x14ac:dyDescent="0.25">
      <c r="J17" s="62"/>
      <c r="K17" s="63"/>
      <c r="L17" s="63"/>
      <c r="M17" s="64"/>
    </row>
    <row r="18" spans="2:13" x14ac:dyDescent="0.25">
      <c r="J18" s="62"/>
      <c r="K18" s="63"/>
      <c r="L18" s="63"/>
      <c r="M18" s="64"/>
    </row>
    <row r="19" spans="2:13" x14ac:dyDescent="0.25">
      <c r="J19" s="62"/>
      <c r="K19" s="63"/>
      <c r="L19" s="63"/>
      <c r="M19" s="64"/>
    </row>
    <row r="20" spans="2:13" x14ac:dyDescent="0.25">
      <c r="J20" s="65"/>
      <c r="K20" s="66"/>
      <c r="L20" s="66"/>
      <c r="M20" s="67"/>
    </row>
    <row r="22" spans="2:13" x14ac:dyDescent="0.25">
      <c r="B22">
        <v>2</v>
      </c>
      <c r="E22">
        <v>11</v>
      </c>
      <c r="H22">
        <v>2</v>
      </c>
    </row>
  </sheetData>
  <mergeCells count="2">
    <mergeCell ref="B2:Q6"/>
    <mergeCell ref="J16:M20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3" name="List Box 1">
              <controlPr defaultSize="0" autoLine="0" autoPict="0">
                <anchor moveWithCells="1">
                  <from>
                    <xdr:col>1</xdr:col>
                    <xdr:colOff>28575</xdr:colOff>
                    <xdr:row>14</xdr:row>
                    <xdr:rowOff>28575</xdr:rowOff>
                  </from>
                  <to>
                    <xdr:col>3</xdr:col>
                    <xdr:colOff>161925</xdr:colOff>
                    <xdr:row>20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4" name="List Box 2">
              <controlPr defaultSize="0" autoLine="0" autoPict="0">
                <anchor moveWithCells="1">
                  <from>
                    <xdr:col>4</xdr:col>
                    <xdr:colOff>47625</xdr:colOff>
                    <xdr:row>14</xdr:row>
                    <xdr:rowOff>19050</xdr:rowOff>
                  </from>
                  <to>
                    <xdr:col>6</xdr:col>
                    <xdr:colOff>104775</xdr:colOff>
                    <xdr:row>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5" name="Option Button 3">
              <controlPr defaultSize="0" autoFill="0" autoLine="0" autoPict="0">
                <anchor moveWithCells="1">
                  <from>
                    <xdr:col>6</xdr:col>
                    <xdr:colOff>495300</xdr:colOff>
                    <xdr:row>14</xdr:row>
                    <xdr:rowOff>95250</xdr:rowOff>
                  </from>
                  <to>
                    <xdr:col>7</xdr:col>
                    <xdr:colOff>561975</xdr:colOff>
                    <xdr:row>15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6" name="Option Button 4">
              <controlPr defaultSize="0" autoFill="0" autoLine="0" autoPict="0">
                <anchor moveWithCells="1">
                  <from>
                    <xdr:col>6</xdr:col>
                    <xdr:colOff>523875</xdr:colOff>
                    <xdr:row>16</xdr:row>
                    <xdr:rowOff>95250</xdr:rowOff>
                  </from>
                  <to>
                    <xdr:col>7</xdr:col>
                    <xdr:colOff>561975</xdr:colOff>
                    <xdr:row>17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T33"/>
  <sheetViews>
    <sheetView showGridLines="0" topLeftCell="A13" workbookViewId="0">
      <selection activeCell="G30" sqref="G30:M32"/>
    </sheetView>
  </sheetViews>
  <sheetFormatPr defaultRowHeight="15" x14ac:dyDescent="0.25"/>
  <cols>
    <col min="17" max="17" width="12.42578125" bestFit="1" customWidth="1"/>
  </cols>
  <sheetData>
    <row r="2" spans="2:20" x14ac:dyDescent="0.25">
      <c r="B2" s="50" t="str">
        <f>CONTEÚDO!B2</f>
        <v>Aula 48 - Formulários (front)</v>
      </c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2"/>
    </row>
    <row r="3" spans="2:20" x14ac:dyDescent="0.25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5"/>
    </row>
    <row r="4" spans="2:20" x14ac:dyDescent="0.25"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5"/>
    </row>
    <row r="5" spans="2:20" x14ac:dyDescent="0.25">
      <c r="B5" s="53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5"/>
    </row>
    <row r="6" spans="2:20" x14ac:dyDescent="0.25">
      <c r="B6" s="56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8"/>
    </row>
    <row r="8" spans="2:20" x14ac:dyDescent="0.25">
      <c r="B8" s="1" t="s">
        <v>4</v>
      </c>
    </row>
    <row r="10" spans="2:20" x14ac:dyDescent="0.25">
      <c r="B10" t="s">
        <v>10</v>
      </c>
    </row>
    <row r="11" spans="2:20" x14ac:dyDescent="0.25">
      <c r="B11" t="s">
        <v>12</v>
      </c>
    </row>
    <row r="12" spans="2:20" x14ac:dyDescent="0.25">
      <c r="B12" t="s">
        <v>13</v>
      </c>
    </row>
    <row r="13" spans="2:20" x14ac:dyDescent="0.25">
      <c r="B13" t="s">
        <v>21</v>
      </c>
    </row>
    <row r="15" spans="2:20" x14ac:dyDescent="0.25">
      <c r="Q15" t="s">
        <v>22</v>
      </c>
      <c r="R15" t="s">
        <v>24</v>
      </c>
      <c r="T15" s="3" t="s">
        <v>23</v>
      </c>
    </row>
    <row r="16" spans="2:20" x14ac:dyDescent="0.25">
      <c r="D16" s="5"/>
      <c r="E16" s="12"/>
      <c r="F16" s="12"/>
      <c r="G16" s="12"/>
      <c r="H16" s="12"/>
      <c r="I16" s="12"/>
      <c r="J16" s="12"/>
      <c r="K16" s="12"/>
      <c r="L16" s="12"/>
      <c r="M16" s="12"/>
      <c r="N16" s="6"/>
    </row>
    <row r="17" spans="4:20" x14ac:dyDescent="0.25">
      <c r="D17" s="7"/>
      <c r="E17" s="13" t="s">
        <v>16</v>
      </c>
      <c r="F17" s="13" t="s">
        <v>17</v>
      </c>
      <c r="G17" s="13"/>
      <c r="H17" s="13"/>
      <c r="I17" s="13"/>
      <c r="J17" s="13"/>
      <c r="K17" s="13" t="s">
        <v>14</v>
      </c>
      <c r="L17" s="14"/>
      <c r="M17" s="14" t="s">
        <v>15</v>
      </c>
      <c r="N17" s="8"/>
      <c r="Q17" s="5"/>
      <c r="R17" s="12"/>
      <c r="S17" s="12"/>
      <c r="T17" s="6"/>
    </row>
    <row r="18" spans="4:20" x14ac:dyDescent="0.25">
      <c r="D18" s="7"/>
      <c r="E18" s="11"/>
      <c r="F18" s="69" t="e">
        <f>#REF!</f>
        <v>#REF!</v>
      </c>
      <c r="G18" s="69"/>
      <c r="H18" s="69"/>
      <c r="I18" s="69"/>
      <c r="J18" s="69"/>
      <c r="K18" s="4">
        <v>4</v>
      </c>
      <c r="L18" s="14"/>
      <c r="M18" s="4" t="e">
        <f>IF(Q18=TRUE,K18*VLOOKUP(F18,#REF!,2,0),"-")</f>
        <v>#REF!</v>
      </c>
      <c r="N18" s="8"/>
      <c r="Q18" s="16" t="b">
        <v>1</v>
      </c>
      <c r="R18" s="14"/>
      <c r="S18" s="14" t="s">
        <v>18</v>
      </c>
      <c r="T18" s="8"/>
    </row>
    <row r="19" spans="4:20" x14ac:dyDescent="0.25">
      <c r="D19" s="7"/>
      <c r="E19" s="14"/>
      <c r="F19" s="14"/>
      <c r="G19" s="14"/>
      <c r="H19" s="14"/>
      <c r="I19" s="14"/>
      <c r="J19" s="14"/>
      <c r="K19" s="14"/>
      <c r="L19" s="14"/>
      <c r="M19" s="14"/>
      <c r="N19" s="8"/>
      <c r="Q19" s="7"/>
      <c r="R19" s="14"/>
      <c r="S19" s="14" t="s">
        <v>19</v>
      </c>
      <c r="T19" s="8"/>
    </row>
    <row r="20" spans="4:20" x14ac:dyDescent="0.25">
      <c r="D20" s="7"/>
      <c r="E20" s="11"/>
      <c r="F20" s="69" t="e">
        <f>#REF!</f>
        <v>#REF!</v>
      </c>
      <c r="G20" s="69"/>
      <c r="H20" s="69"/>
      <c r="I20" s="69"/>
      <c r="J20" s="69"/>
      <c r="K20" s="4">
        <v>6</v>
      </c>
      <c r="L20" s="14"/>
      <c r="M20" s="4" t="e">
        <f>IF(Q20=TRUE,K20*VLOOKUP(F20,#REF!,2,0),"-")</f>
        <v>#REF!</v>
      </c>
      <c r="N20" s="8"/>
      <c r="Q20" s="7" t="b">
        <v>1</v>
      </c>
      <c r="R20" s="14"/>
      <c r="S20" s="14">
        <v>1</v>
      </c>
      <c r="T20" s="8"/>
    </row>
    <row r="21" spans="4:20" x14ac:dyDescent="0.25">
      <c r="D21" s="7"/>
      <c r="E21" s="14"/>
      <c r="F21" s="14"/>
      <c r="G21" s="14"/>
      <c r="H21" s="14"/>
      <c r="I21" s="14"/>
      <c r="J21" s="14"/>
      <c r="K21" s="14"/>
      <c r="L21" s="14"/>
      <c r="M21" s="14"/>
      <c r="N21" s="8"/>
      <c r="Q21" s="7"/>
      <c r="R21" s="14"/>
      <c r="S21" s="14"/>
      <c r="T21" s="8"/>
    </row>
    <row r="22" spans="4:20" x14ac:dyDescent="0.25">
      <c r="D22" s="7"/>
      <c r="E22" s="11"/>
      <c r="F22" s="69" t="e">
        <f>#REF!</f>
        <v>#REF!</v>
      </c>
      <c r="G22" s="69"/>
      <c r="H22" s="69"/>
      <c r="I22" s="69"/>
      <c r="J22" s="69"/>
      <c r="K22" s="4">
        <v>0</v>
      </c>
      <c r="L22" s="14"/>
      <c r="M22" s="4" t="e">
        <f>IF(Q22=TRUE,K22*VLOOKUP(F22,#REF!,2,0),"-")</f>
        <v>#REF!</v>
      </c>
      <c r="N22" s="8"/>
      <c r="Q22" s="7" t="b">
        <v>1</v>
      </c>
      <c r="R22" s="14"/>
      <c r="S22" s="14">
        <v>1</v>
      </c>
      <c r="T22" s="8"/>
    </row>
    <row r="23" spans="4:20" x14ac:dyDescent="0.25">
      <c r="D23" s="7"/>
      <c r="E23" s="14"/>
      <c r="F23" s="14"/>
      <c r="G23" s="14"/>
      <c r="H23" s="14"/>
      <c r="I23" s="14"/>
      <c r="J23" s="14"/>
      <c r="K23" s="14"/>
      <c r="L23" s="14"/>
      <c r="M23" s="14"/>
      <c r="N23" s="8"/>
      <c r="Q23" s="7"/>
      <c r="R23" s="14"/>
      <c r="S23" s="14"/>
      <c r="T23" s="8"/>
    </row>
    <row r="24" spans="4:20" x14ac:dyDescent="0.25">
      <c r="D24" s="7"/>
      <c r="E24" s="11"/>
      <c r="F24" s="69" t="e">
        <f>#REF!</f>
        <v>#REF!</v>
      </c>
      <c r="G24" s="69"/>
      <c r="H24" s="69"/>
      <c r="I24" s="69"/>
      <c r="J24" s="69"/>
      <c r="K24" s="4">
        <v>2</v>
      </c>
      <c r="L24" s="14"/>
      <c r="M24" s="4" t="e">
        <f>IF(Q24=TRUE,K24*VLOOKUP(F24,#REF!,2,0),"-")</f>
        <v>#REF!</v>
      </c>
      <c r="N24" s="8"/>
      <c r="Q24" s="7" t="b">
        <v>1</v>
      </c>
      <c r="R24" s="14"/>
      <c r="S24" s="14"/>
      <c r="T24" s="8"/>
    </row>
    <row r="25" spans="4:20" x14ac:dyDescent="0.25">
      <c r="D25" s="7"/>
      <c r="E25" s="14"/>
      <c r="F25" s="14"/>
      <c r="G25" s="14"/>
      <c r="H25" s="14"/>
      <c r="I25" s="14"/>
      <c r="J25" s="14"/>
      <c r="K25" s="14"/>
      <c r="L25" s="14"/>
      <c r="M25" s="14"/>
      <c r="N25" s="8"/>
      <c r="Q25" s="7"/>
      <c r="R25" s="14"/>
      <c r="S25" s="14"/>
      <c r="T25" s="8"/>
    </row>
    <row r="26" spans="4:20" x14ac:dyDescent="0.25">
      <c r="D26" s="7"/>
      <c r="E26" s="14"/>
      <c r="F26" s="14"/>
      <c r="G26" s="14"/>
      <c r="H26" s="14"/>
      <c r="I26" s="14"/>
      <c r="J26" s="14"/>
      <c r="K26" s="14"/>
      <c r="L26" s="14"/>
      <c r="M26" s="14"/>
      <c r="N26" s="8"/>
      <c r="Q26" s="9"/>
      <c r="R26" s="15"/>
      <c r="S26" s="15"/>
      <c r="T26" s="10"/>
    </row>
    <row r="27" spans="4:20" x14ac:dyDescent="0.25">
      <c r="D27" s="7"/>
      <c r="E27" s="14"/>
      <c r="F27" s="14"/>
      <c r="G27" s="14"/>
      <c r="H27" s="14"/>
      <c r="I27" s="14"/>
      <c r="J27" s="14"/>
      <c r="K27" s="14"/>
      <c r="L27" s="14"/>
      <c r="M27" s="14"/>
      <c r="N27" s="8"/>
    </row>
    <row r="28" spans="4:20" x14ac:dyDescent="0.25">
      <c r="D28" s="7"/>
      <c r="E28" s="14"/>
      <c r="F28" s="14"/>
      <c r="G28" s="14"/>
      <c r="H28" s="14"/>
      <c r="I28" s="14"/>
      <c r="J28" s="14"/>
      <c r="K28" s="14"/>
      <c r="L28" s="14"/>
      <c r="M28" s="14"/>
      <c r="N28" s="8"/>
    </row>
    <row r="29" spans="4:20" x14ac:dyDescent="0.25">
      <c r="D29" s="7"/>
      <c r="E29" s="14"/>
      <c r="F29" s="14"/>
      <c r="G29" s="14"/>
      <c r="H29" s="14"/>
      <c r="I29" s="14"/>
      <c r="J29" s="14"/>
      <c r="K29" s="14"/>
      <c r="L29" s="14"/>
      <c r="M29" s="14"/>
      <c r="N29" s="8"/>
    </row>
    <row r="30" spans="4:20" x14ac:dyDescent="0.25">
      <c r="D30" s="7"/>
      <c r="E30" s="14" t="s">
        <v>20</v>
      </c>
      <c r="F30" s="14"/>
      <c r="G30" s="68" t="e">
        <f>IF(S22=2,1,0.95)*SUM(M18:M24)</f>
        <v>#REF!</v>
      </c>
      <c r="H30" s="68"/>
      <c r="I30" s="68"/>
      <c r="J30" s="68"/>
      <c r="K30" s="68"/>
      <c r="L30" s="68"/>
      <c r="M30" s="68"/>
      <c r="N30" s="8"/>
    </row>
    <row r="31" spans="4:20" x14ac:dyDescent="0.25">
      <c r="D31" s="7"/>
      <c r="E31" s="14"/>
      <c r="F31" s="14"/>
      <c r="G31" s="68"/>
      <c r="H31" s="68"/>
      <c r="I31" s="68"/>
      <c r="J31" s="68"/>
      <c r="K31" s="68"/>
      <c r="L31" s="68"/>
      <c r="M31" s="68"/>
      <c r="N31" s="8"/>
    </row>
    <row r="32" spans="4:20" x14ac:dyDescent="0.25">
      <c r="D32" s="7"/>
      <c r="E32" s="14"/>
      <c r="F32" s="14"/>
      <c r="G32" s="68"/>
      <c r="H32" s="68"/>
      <c r="I32" s="68"/>
      <c r="J32" s="68"/>
      <c r="K32" s="68"/>
      <c r="L32" s="68"/>
      <c r="M32" s="68"/>
      <c r="N32" s="8"/>
    </row>
    <row r="33" spans="4:14" x14ac:dyDescent="0.25">
      <c r="D33" s="9"/>
      <c r="E33" s="15"/>
      <c r="F33" s="15"/>
      <c r="G33" s="15"/>
      <c r="H33" s="15"/>
      <c r="I33" s="15"/>
      <c r="J33" s="15"/>
      <c r="K33" s="15"/>
      <c r="L33" s="15"/>
      <c r="M33" s="15"/>
      <c r="N33" s="10"/>
    </row>
  </sheetData>
  <mergeCells count="6">
    <mergeCell ref="G30:M32"/>
    <mergeCell ref="B2:Q6"/>
    <mergeCell ref="F18:J18"/>
    <mergeCell ref="F20:J20"/>
    <mergeCell ref="F22:J22"/>
    <mergeCell ref="F24:J24"/>
  </mergeCells>
  <pageMargins left="0.511811024" right="0.511811024" top="0.78740157499999996" bottom="0.78740157499999996" header="0.31496062000000002" footer="0.3149606200000000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Check Box 1">
              <controlPr defaultSize="0" autoFill="0" autoLine="0" autoPict="0">
                <anchor moveWithCells="1">
                  <from>
                    <xdr:col>4</xdr:col>
                    <xdr:colOff>171450</xdr:colOff>
                    <xdr:row>16</xdr:row>
                    <xdr:rowOff>142875</xdr:rowOff>
                  </from>
                  <to>
                    <xdr:col>4</xdr:col>
                    <xdr:colOff>447675</xdr:colOff>
                    <xdr:row>18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4" name="Spinner 2">
              <controlPr defaultSize="0" autoPict="0">
                <anchor moveWithCells="1" sizeWithCells="1">
                  <from>
                    <xdr:col>11</xdr:col>
                    <xdr:colOff>9525</xdr:colOff>
                    <xdr:row>16</xdr:row>
                    <xdr:rowOff>180975</xdr:rowOff>
                  </from>
                  <to>
                    <xdr:col>11</xdr:col>
                    <xdr:colOff>371475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5" name="Check Box 3">
              <controlPr defaultSize="0" autoFill="0" autoLine="0" autoPict="0">
                <anchor moveWithCells="1">
                  <from>
                    <xdr:col>4</xdr:col>
                    <xdr:colOff>171450</xdr:colOff>
                    <xdr:row>18</xdr:row>
                    <xdr:rowOff>142875</xdr:rowOff>
                  </from>
                  <to>
                    <xdr:col>4</xdr:col>
                    <xdr:colOff>447675</xdr:colOff>
                    <xdr:row>20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6" name="Spinner 4">
              <controlPr defaultSize="0" autoPict="0">
                <anchor moveWithCells="1" sizeWithCells="1">
                  <from>
                    <xdr:col>11</xdr:col>
                    <xdr:colOff>9525</xdr:colOff>
                    <xdr:row>18</xdr:row>
                    <xdr:rowOff>180975</xdr:rowOff>
                  </from>
                  <to>
                    <xdr:col>11</xdr:col>
                    <xdr:colOff>371475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7" name="Check Box 5">
              <controlPr defaultSize="0" autoFill="0" autoLine="0" autoPict="0">
                <anchor moveWithCells="1">
                  <from>
                    <xdr:col>4</xdr:col>
                    <xdr:colOff>171450</xdr:colOff>
                    <xdr:row>20</xdr:row>
                    <xdr:rowOff>142875</xdr:rowOff>
                  </from>
                  <to>
                    <xdr:col>4</xdr:col>
                    <xdr:colOff>447675</xdr:colOff>
                    <xdr:row>22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8" name="Spinner 6">
              <controlPr defaultSize="0" autoPict="0">
                <anchor moveWithCells="1" sizeWithCells="1">
                  <from>
                    <xdr:col>11</xdr:col>
                    <xdr:colOff>9525</xdr:colOff>
                    <xdr:row>20</xdr:row>
                    <xdr:rowOff>180975</xdr:rowOff>
                  </from>
                  <to>
                    <xdr:col>11</xdr:col>
                    <xdr:colOff>371475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9" name="Check Box 7">
              <controlPr defaultSize="0" autoFill="0" autoLine="0" autoPict="0">
                <anchor moveWithCells="1">
                  <from>
                    <xdr:col>4</xdr:col>
                    <xdr:colOff>171450</xdr:colOff>
                    <xdr:row>22</xdr:row>
                    <xdr:rowOff>142875</xdr:rowOff>
                  </from>
                  <to>
                    <xdr:col>4</xdr:col>
                    <xdr:colOff>447675</xdr:colOff>
                    <xdr:row>24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6" r:id="rId10" name="Spinner 8">
              <controlPr defaultSize="0" autoPict="0">
                <anchor moveWithCells="1" sizeWithCells="1">
                  <from>
                    <xdr:col>11</xdr:col>
                    <xdr:colOff>9525</xdr:colOff>
                    <xdr:row>22</xdr:row>
                    <xdr:rowOff>180975</xdr:rowOff>
                  </from>
                  <to>
                    <xdr:col>11</xdr:col>
                    <xdr:colOff>371475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11" name="Group Box 9">
              <controlPr defaultSize="0" autoFill="0" autoPict="0">
                <anchor moveWithCells="1">
                  <from>
                    <xdr:col>3</xdr:col>
                    <xdr:colOff>581025</xdr:colOff>
                    <xdr:row>24</xdr:row>
                    <xdr:rowOff>180975</xdr:rowOff>
                  </from>
                  <to>
                    <xdr:col>8</xdr:col>
                    <xdr:colOff>104775</xdr:colOff>
                    <xdr:row>28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2" name="Option Button 10">
              <controlPr defaultSize="0" autoFill="0" autoLine="0" autoPict="0">
                <anchor moveWithCells="1">
                  <from>
                    <xdr:col>4</xdr:col>
                    <xdr:colOff>152400</xdr:colOff>
                    <xdr:row>26</xdr:row>
                    <xdr:rowOff>66675</xdr:rowOff>
                  </from>
                  <to>
                    <xdr:col>6</xdr:col>
                    <xdr:colOff>19050</xdr:colOff>
                    <xdr:row>27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3" name="Option Button 11">
              <controlPr defaultSize="0" autoFill="0" autoLine="0" autoPict="0">
                <anchor moveWithCells="1">
                  <from>
                    <xdr:col>6</xdr:col>
                    <xdr:colOff>114300</xdr:colOff>
                    <xdr:row>26</xdr:row>
                    <xdr:rowOff>66675</xdr:rowOff>
                  </from>
                  <to>
                    <xdr:col>7</xdr:col>
                    <xdr:colOff>590550</xdr:colOff>
                    <xdr:row>27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0" r:id="rId14" name="Group Box 12">
              <controlPr defaultSize="0" autoFill="0" autoPict="0">
                <anchor moveWithCells="1">
                  <from>
                    <xdr:col>8</xdr:col>
                    <xdr:colOff>171450</xdr:colOff>
                    <xdr:row>24</xdr:row>
                    <xdr:rowOff>171450</xdr:rowOff>
                  </from>
                  <to>
                    <xdr:col>11</xdr:col>
                    <xdr:colOff>552450</xdr:colOff>
                    <xdr:row>28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1" r:id="rId15" name="Drop Down 13">
              <controlPr defaultSize="0" autoLine="0" autoPict="0">
                <anchor moveWithCells="1">
                  <from>
                    <xdr:col>8</xdr:col>
                    <xdr:colOff>504825</xdr:colOff>
                    <xdr:row>26</xdr:row>
                    <xdr:rowOff>38100</xdr:rowOff>
                  </from>
                  <to>
                    <xdr:col>11</xdr:col>
                    <xdr:colOff>219075</xdr:colOff>
                    <xdr:row>27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CONTEÚDO</vt:lpstr>
      <vt:lpstr>EXPLICAÇÃO</vt:lpstr>
      <vt:lpstr>EXERCÍCIOS (resolvido1)</vt:lpstr>
      <vt:lpstr>EXERCÍCIOS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dcterms:created xsi:type="dcterms:W3CDTF">2015-11-17T16:12:59Z</dcterms:created>
  <dcterms:modified xsi:type="dcterms:W3CDTF">2022-01-24T18:41:01Z</dcterms:modified>
</cp:coreProperties>
</file>