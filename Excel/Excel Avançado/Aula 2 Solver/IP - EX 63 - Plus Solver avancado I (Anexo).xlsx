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User\Documents\Cursos\Excel\Excel Avançado\Aula 2 Solver\"/>
    </mc:Choice>
  </mc:AlternateContent>
  <bookViews>
    <workbookView xWindow="0" yWindow="0" windowWidth="20490" windowHeight="7050" activeTab="2"/>
  </bookViews>
  <sheets>
    <sheet name="CONTEÚDO" sheetId="1" r:id="rId1"/>
    <sheet name="EXERCÍCIO 1" sheetId="4" r:id="rId2"/>
    <sheet name="EXERCÍCIOS 2" sheetId="5" r:id="rId3"/>
    <sheet name="EXERCÍCIOS (SOLUÇÃO)" sheetId="8" state="hidden" r:id="rId4"/>
  </sheets>
  <definedNames>
    <definedName name="solver_adj" localSheetId="0" hidden="1">CONTEÚDO!$M$14:$M$19</definedName>
    <definedName name="solver_adj" localSheetId="1" hidden="1">'EXERCÍCIO 1'!$C$14:$C$16</definedName>
    <definedName name="solver_adj" localSheetId="3" hidden="1">'EXERCÍCIOS (SOLUÇÃO)'!$D$17:$D$18</definedName>
    <definedName name="solver_adj" localSheetId="2" hidden="1">'EXERCÍCIOS 2'!$D$17:$D$18</definedName>
    <definedName name="solver_cvg" localSheetId="0" hidden="1">0.0001</definedName>
    <definedName name="solver_cvg" localSheetId="1" hidden="1">0.0001</definedName>
    <definedName name="solver_cvg" localSheetId="3" hidden="1">0.0001</definedName>
    <definedName name="solver_cvg" localSheetId="2" hidden="1">0.0001</definedName>
    <definedName name="solver_drv" localSheetId="0" hidden="1">1</definedName>
    <definedName name="solver_drv" localSheetId="1" hidden="1">2</definedName>
    <definedName name="solver_drv" localSheetId="3" hidden="1">1</definedName>
    <definedName name="solver_drv" localSheetId="2" hidden="1">1</definedName>
    <definedName name="solver_eng" localSheetId="0" hidden="1">1</definedName>
    <definedName name="solver_eng" localSheetId="1" hidden="1">2</definedName>
    <definedName name="solver_eng" localSheetId="3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3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3" hidden="1">2147483647</definedName>
    <definedName name="solver_itr" localSheetId="2" hidden="1">2147483647</definedName>
    <definedName name="solver_lhs1" localSheetId="0" hidden="1">CONTEÚDO!$M$14</definedName>
    <definedName name="solver_lhs1" localSheetId="1" hidden="1">'EXERCÍCIO 1'!$C$14</definedName>
    <definedName name="solver_lhs1" localSheetId="3" hidden="1">'EXERCÍCIOS (SOLUÇÃO)'!$D$21</definedName>
    <definedName name="solver_lhs1" localSheetId="2" hidden="1">'EXERCÍCIOS 2'!$E$21</definedName>
    <definedName name="solver_lhs2" localSheetId="0" hidden="1">CONTEÚDO!$M$14:$M$19</definedName>
    <definedName name="solver_lhs2" localSheetId="1" hidden="1">'EXERCÍCIO 1'!$C$14</definedName>
    <definedName name="solver_lhs2" localSheetId="3" hidden="1">'EXERCÍCIOS (SOLUÇÃO)'!$D$22</definedName>
    <definedName name="solver_lhs2" localSheetId="2" hidden="1">'EXERCÍCIOS 2'!$E$22</definedName>
    <definedName name="solver_lhs3" localSheetId="0" hidden="1">CONTEÚDO!$M$15</definedName>
    <definedName name="solver_lhs3" localSheetId="1" hidden="1">'EXERCÍCIO 1'!$C$15</definedName>
    <definedName name="solver_lhs3" localSheetId="3" hidden="1">'EXERCÍCIOS (SOLUÇÃO)'!$D$23</definedName>
    <definedName name="solver_lhs3" localSheetId="2" hidden="1">'EXERCÍCIOS 2'!$E$23</definedName>
    <definedName name="solver_lhs4" localSheetId="0" hidden="1">CONTEÚDO!$M$16</definedName>
    <definedName name="solver_lhs4" localSheetId="1" hidden="1">'EXERCÍCIO 1'!$C$16</definedName>
    <definedName name="solver_lhs5" localSheetId="0" hidden="1">CONTEÚDO!$M$17</definedName>
    <definedName name="solver_lhs5" localSheetId="1" hidden="1">'EXERCÍCIO 1'!$C$16</definedName>
    <definedName name="solver_lhs6" localSheetId="0" hidden="1">CONTEÚDO!$M$18</definedName>
    <definedName name="solver_mip" localSheetId="0" hidden="1">2147483647</definedName>
    <definedName name="solver_mip" localSheetId="1" hidden="1">2147483647</definedName>
    <definedName name="solver_mip" localSheetId="3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3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3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3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3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3" hidden="1">2147483647</definedName>
    <definedName name="solver_nod" localSheetId="2" hidden="1">2147483647</definedName>
    <definedName name="solver_num" localSheetId="0" hidden="1">6</definedName>
    <definedName name="solver_num" localSheetId="1" hidden="1">5</definedName>
    <definedName name="solver_num" localSheetId="3" hidden="1">3</definedName>
    <definedName name="solver_num" localSheetId="2" hidden="1">3</definedName>
    <definedName name="solver_nwt" localSheetId="0" hidden="1">1</definedName>
    <definedName name="solver_nwt" localSheetId="1" hidden="1">1</definedName>
    <definedName name="solver_nwt" localSheetId="3" hidden="1">1</definedName>
    <definedName name="solver_nwt" localSheetId="2" hidden="1">1</definedName>
    <definedName name="solver_opt" localSheetId="0" hidden="1">CONTEÚDO!$N$20</definedName>
    <definedName name="solver_opt" localSheetId="1" hidden="1">'EXERCÍCIO 1'!$C$20</definedName>
    <definedName name="solver_opt" localSheetId="3" hidden="1">'EXERCÍCIOS (SOLUÇÃO)'!$J$16</definedName>
    <definedName name="solver_opt" localSheetId="2" hidden="1">'EXERCÍCIOS 2'!$J$16</definedName>
    <definedName name="solver_pre" localSheetId="0" hidden="1">0.000001</definedName>
    <definedName name="solver_pre" localSheetId="1" hidden="1">0.000001</definedName>
    <definedName name="solver_pre" localSheetId="3" hidden="1">0.000001</definedName>
    <definedName name="solver_pre" localSheetId="2" hidden="1">0.000001</definedName>
    <definedName name="solver_rbv" localSheetId="0" hidden="1">1</definedName>
    <definedName name="solver_rbv" localSheetId="1" hidden="1">2</definedName>
    <definedName name="solver_rbv" localSheetId="3" hidden="1">1</definedName>
    <definedName name="solver_rbv" localSheetId="2" hidden="1">1</definedName>
    <definedName name="solver_rel1" localSheetId="0" hidden="1">1</definedName>
    <definedName name="solver_rel1" localSheetId="1" hidden="1">1</definedName>
    <definedName name="solver_rel1" localSheetId="3" hidden="1">3</definedName>
    <definedName name="solver_rel1" localSheetId="2" hidden="1">1</definedName>
    <definedName name="solver_rel2" localSheetId="0" hidden="1">4</definedName>
    <definedName name="solver_rel2" localSheetId="1" hidden="1">3</definedName>
    <definedName name="solver_rel2" localSheetId="3" hidden="1">3</definedName>
    <definedName name="solver_rel2" localSheetId="2" hidden="1">1</definedName>
    <definedName name="solver_rel3" localSheetId="0" hidden="1">1</definedName>
    <definedName name="solver_rel3" localSheetId="1" hidden="1">1</definedName>
    <definedName name="solver_rel3" localSheetId="3" hidden="1">3</definedName>
    <definedName name="solver_rel3" localSheetId="2" hidden="1">1</definedName>
    <definedName name="solver_rel4" localSheetId="0" hidden="1">1</definedName>
    <definedName name="solver_rel4" localSheetId="1" hidden="1">1</definedName>
    <definedName name="solver_rel5" localSheetId="0" hidden="1">1</definedName>
    <definedName name="solver_rel5" localSheetId="1" hidden="1">3</definedName>
    <definedName name="solver_rel6" localSheetId="0" hidden="1">1</definedName>
    <definedName name="solver_rhs1" localSheetId="0" hidden="1">4</definedName>
    <definedName name="solver_rhs1" localSheetId="1" hidden="1">'EXERCÍCIO 1'!$Q$12</definedName>
    <definedName name="solver_rhs1" localSheetId="3" hidden="1">'EXERCÍCIOS (SOLUÇÃO)'!$E$21</definedName>
    <definedName name="solver_rhs1" localSheetId="2" hidden="1">'EXERCÍCIOS 2'!$D$21</definedName>
    <definedName name="solver_rhs2" localSheetId="0" hidden="1">número inteiro</definedName>
    <definedName name="solver_rhs2" localSheetId="1" hidden="1">'EXERCÍCIO 1'!$Q$11</definedName>
    <definedName name="solver_rhs2" localSheetId="3" hidden="1">'EXERCÍCIOS (SOLUÇÃO)'!$E$22</definedName>
    <definedName name="solver_rhs2" localSheetId="2" hidden="1">'EXERCÍCIOS 2'!$D$22</definedName>
    <definedName name="solver_rhs3" localSheetId="0" hidden="1">1</definedName>
    <definedName name="solver_rhs3" localSheetId="1" hidden="1">'EXERCÍCIO 1'!$Q$13</definedName>
    <definedName name="solver_rhs3" localSheetId="3" hidden="1">'EXERCÍCIOS (SOLUÇÃO)'!$E$23</definedName>
    <definedName name="solver_rhs3" localSheetId="2" hidden="1">'EXERCÍCIOS 2'!$D$23</definedName>
    <definedName name="solver_rhs4" localSheetId="0" hidden="1">1</definedName>
    <definedName name="solver_rhs4" localSheetId="1" hidden="1">'EXERCÍCIO 1'!$Q$15</definedName>
    <definedName name="solver_rhs5" localSheetId="0" hidden="1">4</definedName>
    <definedName name="solver_rhs5" localSheetId="1" hidden="1">'EXERCÍCIO 1'!$Q$14</definedName>
    <definedName name="solver_rhs6" localSheetId="0" hidden="1">1</definedName>
    <definedName name="solver_rlx" localSheetId="0" hidden="1">2</definedName>
    <definedName name="solver_rlx" localSheetId="1" hidden="1">2</definedName>
    <definedName name="solver_rlx" localSheetId="3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3" hidden="1">0</definedName>
    <definedName name="solver_rsd" localSheetId="2" hidden="1">0</definedName>
    <definedName name="solver_scl" localSheetId="0" hidden="1">1</definedName>
    <definedName name="solver_scl" localSheetId="1" hidden="1">2</definedName>
    <definedName name="solver_scl" localSheetId="3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3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3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3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3" hidden="1">0.01</definedName>
    <definedName name="solver_tol" localSheetId="2" hidden="1">0.01</definedName>
    <definedName name="solver_typ" localSheetId="0" hidden="1">3</definedName>
    <definedName name="solver_typ" localSheetId="1" hidden="1">3</definedName>
    <definedName name="solver_typ" localSheetId="3" hidden="1">1</definedName>
    <definedName name="solver_typ" localSheetId="2" hidden="1">1</definedName>
    <definedName name="solver_val" localSheetId="0" hidden="1">749</definedName>
    <definedName name="solver_val" localSheetId="1" hidden="1">30000</definedName>
    <definedName name="solver_val" localSheetId="3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3" hidden="1">3</definedName>
    <definedName name="solver_ver" localSheetId="2" hidden="1">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6" i="5" l="1"/>
  <c r="E23" i="5"/>
  <c r="E22" i="5"/>
  <c r="E21" i="5"/>
  <c r="E23" i="8" l="1"/>
  <c r="E22" i="8"/>
  <c r="E21" i="8"/>
  <c r="J16" i="8"/>
  <c r="B2" i="8"/>
  <c r="H20" i="4" l="1"/>
  <c r="G20" i="4"/>
  <c r="F20" i="4"/>
  <c r="E20" i="4"/>
  <c r="D20" i="4"/>
  <c r="C20" i="4"/>
</calcChain>
</file>

<file path=xl/sharedStrings.xml><?xml version="1.0" encoding="utf-8"?>
<sst xmlns="http://schemas.openxmlformats.org/spreadsheetml/2006/main" count="69" uniqueCount="41">
  <si>
    <t>CONCEITO</t>
  </si>
  <si>
    <t>Casarão dos Móveis de Madeira</t>
  </si>
  <si>
    <t>Previsão Trimestral de Vendas</t>
  </si>
  <si>
    <t>RESTRIÇÕES</t>
  </si>
  <si>
    <t>Mesas</t>
  </si>
  <si>
    <t>Cadeiras</t>
  </si>
  <si>
    <t>Escrivaninhas</t>
  </si>
  <si>
    <t>Estantes</t>
  </si>
  <si>
    <t>Camas</t>
  </si>
  <si>
    <t>Cômodas</t>
  </si>
  <si>
    <t>Julho</t>
  </si>
  <si>
    <t>Agosto</t>
  </si>
  <si>
    <t>&lt;=</t>
  </si>
  <si>
    <t>Setembro</t>
  </si>
  <si>
    <t>&gt;=</t>
  </si>
  <si>
    <t>Metas</t>
  </si>
  <si>
    <t>Meta:</t>
  </si>
  <si>
    <t xml:space="preserve">Uma fábrica de computadores produz 2 modelos de computador: A e B. O modelo A fornece um lucro de R$ 180,00 e B de R$ 300,00. O modelo A requer, na sua produção, um gabinete pequeno e uma unidade de disco. O modelo B requer 1 gabinete grande e 2 unidades de disco. Existem no estoque: 60 unidades do gabinete pequeno, 50 do gabinete grande e 120 unidades de disco. Pergunta-se: qual deve ser o esquema de produção que maximiza o lucro ?
</t>
  </si>
  <si>
    <t>A</t>
  </si>
  <si>
    <t>Gabinete Pequeno</t>
  </si>
  <si>
    <t>B</t>
  </si>
  <si>
    <t>Gabinete Grande</t>
  </si>
  <si>
    <t>Unid. Disco</t>
  </si>
  <si>
    <t>EXERCÍCIO</t>
  </si>
  <si>
    <t>ESTOQUE</t>
  </si>
  <si>
    <t>GASTO</t>
  </si>
  <si>
    <t>PRODUÇÃO</t>
  </si>
  <si>
    <t>LUCRO:</t>
  </si>
  <si>
    <t>Solver</t>
  </si>
  <si>
    <t>&gt;&gt; ONE-LINER &lt;&lt;</t>
  </si>
  <si>
    <t>&gt;&gt; CONTEÚDO DA AULA &lt;&lt;</t>
  </si>
  <si>
    <t>1. Conceito</t>
  </si>
  <si>
    <t>2. Aplicação</t>
  </si>
  <si>
    <t>3. Exercícios</t>
  </si>
  <si>
    <t>"Solver é um suplemento do excel capaz de resolver problemas complexos através de testes considerando restrições pré-estabelecidas."</t>
  </si>
  <si>
    <t>Passo a passo:</t>
  </si>
  <si>
    <t>-&gt; Procure onde encontra a célula que possui a fórmula. A mesma que será utilizada no "Definir Objetivo", se ela não existir, crie-a.</t>
  </si>
  <si>
    <t>-&gt; Saiba que as células que vão ser alteradas SEMPRE estão ligadas a sua célula que contém a fórmula no DEFINIR OBJETIVO</t>
  </si>
  <si>
    <t>-&gt; abra o Solver e clique em REDEFINIR TUDO para zerar todas as informações previamente preenchidas.</t>
  </si>
  <si>
    <t>-&gt; Qual célula será disposta no campo DEFINIR OBJETIVO? Cadê a fórmula?</t>
  </si>
  <si>
    <t xml:space="preserve">-&gt; Tente fazer a lógica manualmente, primeiro. Se eu construir um PC Modelo A, quantas peças eu gastarei? E se eu tiver 1 módelo A e 1 B? Quantas serão?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</si>
</sst>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E45286"/>
      <name val="Calibri"/>
      <family val="2"/>
      <scheme val="minor"/>
    </font>
    <font>
      <b/>
      <i/>
      <sz val="11"/>
      <color rgb="FFE4528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24086"/>
        <bgColor indexed="64"/>
      </patternFill>
    </fill>
    <fill>
      <patternFill patternType="solid">
        <fgColor rgb="FFE45286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 style="thin">
        <color indexed="64"/>
      </bottom>
      <diagonal/>
    </border>
    <border>
      <left style="medium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medium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9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9" xfId="0" applyBorder="1"/>
    <xf numFmtId="44" fontId="0" fillId="0" borderId="9" xfId="1" applyFont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9" xfId="0" applyFont="1" applyFill="1" applyBorder="1"/>
    <xf numFmtId="0" fontId="9" fillId="5" borderId="18" xfId="0" applyFont="1" applyFill="1" applyBorder="1"/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0" fillId="5" borderId="19" xfId="0" applyFill="1" applyBorder="1"/>
    <xf numFmtId="0" fontId="0" fillId="5" borderId="20" xfId="0" applyFill="1" applyBorder="1"/>
    <xf numFmtId="0" fontId="11" fillId="5" borderId="24" xfId="0" applyFont="1" applyFill="1" applyBorder="1"/>
    <xf numFmtId="0" fontId="0" fillId="5" borderId="0" xfId="0" applyFill="1"/>
    <xf numFmtId="0" fontId="11" fillId="5" borderId="0" xfId="0" applyFont="1" applyFill="1"/>
    <xf numFmtId="0" fontId="11" fillId="5" borderId="25" xfId="0" applyFont="1" applyFill="1" applyBorder="1"/>
    <xf numFmtId="0" fontId="11" fillId="5" borderId="21" xfId="0" applyFont="1" applyFill="1" applyBorder="1"/>
    <xf numFmtId="0" fontId="0" fillId="5" borderId="22" xfId="0" applyFill="1" applyBorder="1"/>
    <xf numFmtId="0" fontId="0" fillId="5" borderId="23" xfId="0" applyFill="1" applyBorder="1"/>
    <xf numFmtId="0" fontId="13" fillId="5" borderId="27" xfId="0" applyFont="1" applyFill="1" applyBorder="1" applyAlignment="1">
      <alignment horizontal="center"/>
    </xf>
    <xf numFmtId="0" fontId="6" fillId="5" borderId="26" xfId="0" applyFont="1" applyFill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7" fillId="8" borderId="28" xfId="0" applyFont="1" applyFill="1" applyBorder="1" applyAlignment="1">
      <alignment horizontal="center"/>
    </xf>
    <xf numFmtId="0" fontId="12" fillId="8" borderId="28" xfId="0" applyFont="1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4" fillId="7" borderId="28" xfId="0" applyFont="1" applyFill="1" applyBorder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right"/>
    </xf>
    <xf numFmtId="0" fontId="16" fillId="0" borderId="22" xfId="0" applyFont="1" applyBorder="1"/>
    <xf numFmtId="0" fontId="0" fillId="0" borderId="22" xfId="0" applyBorder="1"/>
    <xf numFmtId="0" fontId="6" fillId="6" borderId="9" xfId="0" applyFont="1" applyFill="1" applyBorder="1"/>
    <xf numFmtId="0" fontId="6" fillId="6" borderId="9" xfId="0" applyFont="1" applyFill="1" applyBorder="1" applyAlignment="1">
      <alignment horizontal="center"/>
    </xf>
    <xf numFmtId="0" fontId="17" fillId="0" borderId="22" xfId="0" applyFont="1" applyBorder="1"/>
    <xf numFmtId="0" fontId="6" fillId="0" borderId="22" xfId="0" applyFont="1" applyBorder="1"/>
    <xf numFmtId="0" fontId="5" fillId="0" borderId="0" xfId="0" quotePrefix="1" applyFont="1"/>
    <xf numFmtId="0" fontId="5" fillId="0" borderId="0" xfId="0" applyFont="1"/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0" fillId="5" borderId="21" xfId="0" applyFont="1" applyFill="1" applyBorder="1" applyAlignment="1">
      <alignment horizontal="left" wrapText="1"/>
    </xf>
    <xf numFmtId="0" fontId="10" fillId="5" borderId="22" xfId="0" applyFont="1" applyFill="1" applyBorder="1" applyAlignment="1">
      <alignment horizontal="left" wrapText="1"/>
    </xf>
    <xf numFmtId="0" fontId="10" fillId="5" borderId="23" xfId="0" applyFont="1" applyFill="1" applyBorder="1" applyAlignment="1">
      <alignment horizontal="left" wrapText="1"/>
    </xf>
    <xf numFmtId="0" fontId="7" fillId="7" borderId="9" xfId="0" applyFont="1" applyFill="1" applyBorder="1" applyAlignment="1">
      <alignment horizontal="center"/>
    </xf>
    <xf numFmtId="0" fontId="7" fillId="7" borderId="28" xfId="0" applyFont="1" applyFill="1" applyBorder="1" applyAlignment="1">
      <alignment horizontal="center"/>
    </xf>
    <xf numFmtId="0" fontId="0" fillId="5" borderId="30" xfId="0" applyFill="1" applyBorder="1" applyAlignment="1">
      <alignment horizontal="center" vertical="center" wrapText="1"/>
    </xf>
    <xf numFmtId="0" fontId="0" fillId="5" borderId="31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44" fontId="0" fillId="5" borderId="26" xfId="0" applyNumberFormat="1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0" fillId="3" borderId="38" xfId="0" applyNumberFormat="1" applyFill="1" applyBorder="1" applyAlignment="1">
      <alignment horizontal="center"/>
    </xf>
    <xf numFmtId="44" fontId="0" fillId="3" borderId="39" xfId="0" applyNumberForma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200025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897EFCF6-1ADA-4B93-BDCA-4BAFC2D46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5762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27265D-BDCC-4DC2-ADC0-7A1F37870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24AD3297-48F7-429D-9E24-D969E57BF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2905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88AF0A-403C-4F5B-9EE2-AFA1F0165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  <xdr:twoCellAnchor editAs="oneCell">
    <xdr:from>
      <xdr:col>2</xdr:col>
      <xdr:colOff>384517</xdr:colOff>
      <xdr:row>22</xdr:row>
      <xdr:rowOff>66675</xdr:rowOff>
    </xdr:from>
    <xdr:to>
      <xdr:col>6</xdr:col>
      <xdr:colOff>510155</xdr:colOff>
      <xdr:row>36</xdr:row>
      <xdr:rowOff>180265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EDACF0-06A8-4303-A23F-B68C673B3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3717" y="4143375"/>
          <a:ext cx="2659288" cy="2780590"/>
        </a:xfrm>
        <a:prstGeom prst="rect">
          <a:avLst/>
        </a:prstGeom>
      </xdr:spPr>
    </xdr:pic>
    <xdr:clientData/>
  </xdr:twoCellAnchor>
  <xdr:twoCellAnchor>
    <xdr:from>
      <xdr:col>5</xdr:col>
      <xdr:colOff>342900</xdr:colOff>
      <xdr:row>29</xdr:row>
      <xdr:rowOff>171450</xdr:rowOff>
    </xdr:from>
    <xdr:to>
      <xdr:col>6</xdr:col>
      <xdr:colOff>438150</xdr:colOff>
      <xdr:row>30</xdr:row>
      <xdr:rowOff>133350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B32E8FF1-C63F-43D1-9AE3-3A2CB97434B0}"/>
            </a:ext>
          </a:extLst>
        </xdr:cNvPr>
        <xdr:cNvSpPr/>
      </xdr:nvSpPr>
      <xdr:spPr>
        <a:xfrm>
          <a:off x="3486150" y="5581650"/>
          <a:ext cx="704850" cy="152400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E7390DDD-752B-4495-9ABF-67CF2D49E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2905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DD4392-BE45-455F-8855-391CDF07C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180975</xdr:rowOff>
    </xdr:from>
    <xdr:to>
      <xdr:col>4</xdr:col>
      <xdr:colOff>281576</xdr:colOff>
      <xdr:row>5</xdr:row>
      <xdr:rowOff>28575</xdr:rowOff>
    </xdr:to>
    <xdr:pic>
      <xdr:nvPicPr>
        <xdr:cNvPr id="2" name="Imagem 1" descr="LOGO.b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71475"/>
          <a:ext cx="2138951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4"/>
  <sheetViews>
    <sheetView showGridLines="0" workbookViewId="0">
      <selection activeCell="L14" sqref="L14"/>
    </sheetView>
  </sheetViews>
  <sheetFormatPr defaultRowHeight="15" x14ac:dyDescent="0.25"/>
  <cols>
    <col min="14" max="14" width="12.5703125" bestFit="1" customWidth="1"/>
  </cols>
  <sheetData>
    <row r="1" spans="2:17" ht="15.75" thickBot="1" x14ac:dyDescent="0.3"/>
    <row r="2" spans="2:17" ht="15" customHeight="1" x14ac:dyDescent="0.25">
      <c r="B2" s="42" t="s">
        <v>28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</row>
    <row r="3" spans="2:17" ht="15" customHeight="1" x14ac:dyDescent="0.25">
      <c r="B3" s="45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7"/>
    </row>
    <row r="4" spans="2:17" ht="15" customHeight="1" x14ac:dyDescent="0.25">
      <c r="B4" s="45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7"/>
    </row>
    <row r="5" spans="2:17" ht="15" customHeight="1" x14ac:dyDescent="0.25">
      <c r="B5" s="45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7"/>
    </row>
    <row r="6" spans="2:17" ht="15" customHeight="1" x14ac:dyDescent="0.25">
      <c r="B6" s="48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50"/>
    </row>
    <row r="7" spans="2:17" ht="15.75" thickBot="1" x14ac:dyDescent="0.3"/>
    <row r="8" spans="2:17" ht="21" customHeight="1" x14ac:dyDescent="0.25">
      <c r="B8" s="11" t="s">
        <v>29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</row>
    <row r="9" spans="2:17" x14ac:dyDescent="0.25">
      <c r="B9" s="51" t="s">
        <v>34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3"/>
    </row>
    <row r="10" spans="2:17" ht="7.5" customHeight="1" thickBot="1" x14ac:dyDescent="0.3"/>
    <row r="11" spans="2:17" ht="15.75" x14ac:dyDescent="0.25">
      <c r="B11" s="11" t="s">
        <v>30</v>
      </c>
      <c r="C11" s="14"/>
      <c r="D11" s="14"/>
      <c r="E11" s="15"/>
    </row>
    <row r="12" spans="2:17" x14ac:dyDescent="0.25">
      <c r="B12" s="16" t="s">
        <v>31</v>
      </c>
      <c r="C12" s="17"/>
      <c r="D12" s="18"/>
      <c r="E12" s="19"/>
    </row>
    <row r="13" spans="2:17" x14ac:dyDescent="0.25">
      <c r="B13" s="16" t="s">
        <v>32</v>
      </c>
      <c r="C13" s="17"/>
      <c r="D13" s="18"/>
      <c r="E13" s="19"/>
    </row>
    <row r="14" spans="2:17" x14ac:dyDescent="0.25">
      <c r="B14" s="20" t="s">
        <v>33</v>
      </c>
      <c r="C14" s="21"/>
      <c r="D14" s="21"/>
      <c r="E14" s="22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7"/>
  <sheetViews>
    <sheetView showGridLines="0" topLeftCell="A4" workbookViewId="0">
      <selection activeCell="I15" sqref="I15"/>
    </sheetView>
  </sheetViews>
  <sheetFormatPr defaultRowHeight="15" x14ac:dyDescent="0.25"/>
  <cols>
    <col min="5" max="5" width="10.5703125" bestFit="1" customWidth="1"/>
    <col min="10" max="10" width="9.7109375" bestFit="1" customWidth="1"/>
  </cols>
  <sheetData>
    <row r="1" spans="2:17" ht="15.75" thickBot="1" x14ac:dyDescent="0.3"/>
    <row r="2" spans="2:17" ht="15" customHeight="1" x14ac:dyDescent="0.25">
      <c r="B2" s="42" t="s">
        <v>28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</row>
    <row r="3" spans="2:17" ht="15" customHeight="1" x14ac:dyDescent="0.25">
      <c r="B3" s="45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7"/>
    </row>
    <row r="4" spans="2:17" ht="15" customHeight="1" x14ac:dyDescent="0.25">
      <c r="B4" s="45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7"/>
    </row>
    <row r="5" spans="2:17" ht="15" customHeight="1" x14ac:dyDescent="0.25">
      <c r="B5" s="45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7"/>
    </row>
    <row r="6" spans="2:17" ht="15" customHeight="1" x14ac:dyDescent="0.25">
      <c r="B6" s="48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50"/>
    </row>
    <row r="8" spans="2:17" x14ac:dyDescent="0.25">
      <c r="B8" s="34" t="s">
        <v>0</v>
      </c>
      <c r="C8" s="35"/>
      <c r="D8" s="35"/>
      <c r="E8" s="35"/>
      <c r="F8" s="35"/>
      <c r="G8" s="35"/>
      <c r="H8" s="35"/>
    </row>
    <row r="9" spans="2:17" ht="4.5" customHeight="1" x14ac:dyDescent="0.25"/>
    <row r="10" spans="2:17" x14ac:dyDescent="0.25">
      <c r="B10" s="54" t="s">
        <v>1</v>
      </c>
      <c r="C10" s="54"/>
      <c r="D10" s="54"/>
      <c r="E10" s="54"/>
      <c r="F10" s="54"/>
      <c r="G10" s="54"/>
      <c r="H10" s="54"/>
      <c r="O10" s="55" t="s">
        <v>3</v>
      </c>
      <c r="P10" s="55"/>
      <c r="Q10" s="55"/>
    </row>
    <row r="11" spans="2:17" x14ac:dyDescent="0.25">
      <c r="O11" s="25" t="s">
        <v>10</v>
      </c>
      <c r="P11" s="26" t="s">
        <v>14</v>
      </c>
      <c r="Q11" s="25">
        <v>9349</v>
      </c>
    </row>
    <row r="12" spans="2:17" x14ac:dyDescent="0.25">
      <c r="B12" s="32" t="s">
        <v>2</v>
      </c>
      <c r="O12" s="25" t="s">
        <v>10</v>
      </c>
      <c r="P12" s="26" t="s">
        <v>12</v>
      </c>
      <c r="Q12" s="25">
        <v>12452</v>
      </c>
    </row>
    <row r="13" spans="2:17" x14ac:dyDescent="0.25">
      <c r="C13" s="27" t="s">
        <v>4</v>
      </c>
      <c r="D13" s="27" t="s">
        <v>5</v>
      </c>
      <c r="E13" s="28" t="s">
        <v>6</v>
      </c>
      <c r="F13" s="27" t="s">
        <v>7</v>
      </c>
      <c r="G13" s="27" t="s">
        <v>8</v>
      </c>
      <c r="H13" s="27" t="s">
        <v>9</v>
      </c>
      <c r="O13" s="25" t="s">
        <v>11</v>
      </c>
      <c r="P13" s="26" t="s">
        <v>12</v>
      </c>
      <c r="Q13" s="25">
        <v>6506</v>
      </c>
    </row>
    <row r="14" spans="2:17" x14ac:dyDescent="0.25">
      <c r="B14" s="33" t="s">
        <v>10</v>
      </c>
      <c r="C14" s="29">
        <v>12452</v>
      </c>
      <c r="D14" s="30">
        <v>11538</v>
      </c>
      <c r="E14" s="30">
        <v>7042</v>
      </c>
      <c r="F14" s="30">
        <v>7996</v>
      </c>
      <c r="G14" s="30">
        <v>12048</v>
      </c>
      <c r="H14" s="30">
        <v>10194</v>
      </c>
      <c r="O14" s="25" t="s">
        <v>13</v>
      </c>
      <c r="P14" s="26" t="s">
        <v>14</v>
      </c>
      <c r="Q14" s="25">
        <v>8045</v>
      </c>
    </row>
    <row r="15" spans="2:17" x14ac:dyDescent="0.25">
      <c r="B15" s="33" t="s">
        <v>11</v>
      </c>
      <c r="C15" s="29">
        <v>6506</v>
      </c>
      <c r="D15" s="30">
        <v>9866</v>
      </c>
      <c r="E15" s="30">
        <v>9300</v>
      </c>
      <c r="F15" s="30">
        <v>7596</v>
      </c>
      <c r="G15" s="30">
        <v>10318</v>
      </c>
      <c r="H15" s="30">
        <v>7614</v>
      </c>
      <c r="O15" s="25" t="s">
        <v>13</v>
      </c>
      <c r="P15" s="26" t="s">
        <v>12</v>
      </c>
      <c r="Q15" s="25">
        <v>14329</v>
      </c>
    </row>
    <row r="16" spans="2:17" ht="15.75" thickBot="1" x14ac:dyDescent="0.3">
      <c r="B16" s="33" t="s">
        <v>13</v>
      </c>
      <c r="C16" s="29">
        <v>11042</v>
      </c>
      <c r="D16" s="30">
        <v>6954</v>
      </c>
      <c r="E16" s="30">
        <v>7890</v>
      </c>
      <c r="F16" s="30">
        <v>7452</v>
      </c>
      <c r="G16" s="30">
        <v>7062</v>
      </c>
      <c r="H16" s="30">
        <v>9736</v>
      </c>
    </row>
    <row r="17" spans="2:16" x14ac:dyDescent="0.25">
      <c r="C17" s="2"/>
      <c r="D17" s="2"/>
      <c r="E17" s="2"/>
      <c r="F17" s="2"/>
      <c r="G17" s="2"/>
      <c r="H17" s="2"/>
      <c r="O17" s="24" t="s">
        <v>16</v>
      </c>
      <c r="P17" s="23">
        <v>30000</v>
      </c>
    </row>
    <row r="18" spans="2:16" x14ac:dyDescent="0.25">
      <c r="B18" s="32" t="s">
        <v>15</v>
      </c>
      <c r="C18" s="2"/>
      <c r="D18" s="2"/>
      <c r="E18" s="2"/>
      <c r="F18" s="2"/>
      <c r="G18" s="2"/>
      <c r="H18" s="2"/>
    </row>
    <row r="19" spans="2:16" x14ac:dyDescent="0.25">
      <c r="C19" s="27" t="s">
        <v>4</v>
      </c>
      <c r="D19" s="27" t="s">
        <v>5</v>
      </c>
      <c r="E19" s="28" t="s">
        <v>6</v>
      </c>
      <c r="F19" s="27" t="s">
        <v>7</v>
      </c>
      <c r="G19" s="27" t="s">
        <v>8</v>
      </c>
      <c r="H19" s="27" t="s">
        <v>9</v>
      </c>
    </row>
    <row r="20" spans="2:16" x14ac:dyDescent="0.25">
      <c r="C20" s="31">
        <f>SUM(C14:C16)</f>
        <v>30000</v>
      </c>
      <c r="D20" s="30">
        <f>SUM(D14:D16)</f>
        <v>28358</v>
      </c>
      <c r="E20" s="30">
        <f t="shared" ref="E20:H20" si="0">SUM(E14:E16)</f>
        <v>24232</v>
      </c>
      <c r="F20" s="30">
        <f t="shared" si="0"/>
        <v>23044</v>
      </c>
      <c r="G20" s="30">
        <f t="shared" si="0"/>
        <v>29428</v>
      </c>
      <c r="H20" s="30">
        <f t="shared" si="0"/>
        <v>27544</v>
      </c>
    </row>
    <row r="23" spans="2:16" x14ac:dyDescent="0.25">
      <c r="H23" s="32" t="s">
        <v>35</v>
      </c>
    </row>
    <row r="24" spans="2:16" x14ac:dyDescent="0.25">
      <c r="H24" s="40" t="s">
        <v>38</v>
      </c>
    </row>
    <row r="25" spans="2:16" x14ac:dyDescent="0.25">
      <c r="H25" s="40" t="s">
        <v>36</v>
      </c>
    </row>
    <row r="26" spans="2:16" x14ac:dyDescent="0.25">
      <c r="H26" s="40" t="s">
        <v>37</v>
      </c>
    </row>
    <row r="27" spans="2:16" x14ac:dyDescent="0.25">
      <c r="H27" s="41"/>
    </row>
  </sheetData>
  <mergeCells count="3">
    <mergeCell ref="B2:Q6"/>
    <mergeCell ref="B10:H10"/>
    <mergeCell ref="O10:Q10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3"/>
  <sheetViews>
    <sheetView showGridLines="0" tabSelected="1" workbookViewId="0">
      <selection activeCell="N18" sqref="N18"/>
    </sheetView>
  </sheetViews>
  <sheetFormatPr defaultRowHeight="15" x14ac:dyDescent="0.25"/>
  <cols>
    <col min="3" max="3" width="10.5703125" bestFit="1" customWidth="1"/>
    <col min="4" max="4" width="9.85546875" bestFit="1" customWidth="1"/>
  </cols>
  <sheetData>
    <row r="1" spans="2:17" ht="15.75" thickBot="1" x14ac:dyDescent="0.3"/>
    <row r="2" spans="2:17" ht="15" customHeight="1" x14ac:dyDescent="0.25">
      <c r="B2" s="42" t="s">
        <v>28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4"/>
    </row>
    <row r="3" spans="2:17" ht="15" customHeight="1" x14ac:dyDescent="0.25">
      <c r="B3" s="45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7"/>
    </row>
    <row r="4" spans="2:17" ht="15" customHeight="1" x14ac:dyDescent="0.25">
      <c r="B4" s="45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7"/>
    </row>
    <row r="5" spans="2:17" ht="15" customHeight="1" x14ac:dyDescent="0.25">
      <c r="B5" s="45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7"/>
    </row>
    <row r="6" spans="2:17" ht="15" customHeight="1" x14ac:dyDescent="0.25">
      <c r="B6" s="48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50"/>
    </row>
    <row r="8" spans="2:17" x14ac:dyDescent="0.25">
      <c r="B8" s="38" t="s">
        <v>23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9"/>
    </row>
    <row r="9" spans="2:17" ht="5.25" customHeight="1" thickBot="1" x14ac:dyDescent="0.3"/>
    <row r="10" spans="2:17" x14ac:dyDescent="0.25">
      <c r="B10" s="56" t="s">
        <v>17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8"/>
    </row>
    <row r="11" spans="2:17" x14ac:dyDescent="0.25">
      <c r="B11" s="59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1"/>
    </row>
    <row r="12" spans="2:17" x14ac:dyDescent="0.25">
      <c r="B12" s="59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1"/>
    </row>
    <row r="13" spans="2:17" x14ac:dyDescent="0.25"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1"/>
    </row>
    <row r="14" spans="2:17" x14ac:dyDescent="0.25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4"/>
    </row>
    <row r="15" spans="2:17" ht="15.75" thickBot="1" x14ac:dyDescent="0.3"/>
    <row r="16" spans="2:17" x14ac:dyDescent="0.25">
      <c r="D16" s="36" t="s">
        <v>26</v>
      </c>
      <c r="I16" s="3" t="s">
        <v>27</v>
      </c>
      <c r="J16" s="65">
        <f>C17*D17+C18*D18</f>
        <v>19800</v>
      </c>
      <c r="K16" s="66"/>
    </row>
    <row r="17" spans="2:9" x14ac:dyDescent="0.25">
      <c r="B17" s="4" t="s">
        <v>18</v>
      </c>
      <c r="C17" s="8">
        <v>180</v>
      </c>
      <c r="D17" s="6">
        <v>60</v>
      </c>
    </row>
    <row r="18" spans="2:9" x14ac:dyDescent="0.25">
      <c r="B18" s="4" t="s">
        <v>20</v>
      </c>
      <c r="C18" s="8">
        <v>300</v>
      </c>
      <c r="D18" s="6">
        <v>30</v>
      </c>
    </row>
    <row r="19" spans="2:9" x14ac:dyDescent="0.25">
      <c r="D19" s="2"/>
    </row>
    <row r="20" spans="2:9" x14ac:dyDescent="0.25">
      <c r="D20" s="37" t="s">
        <v>24</v>
      </c>
      <c r="E20" s="37" t="s">
        <v>25</v>
      </c>
      <c r="I20" s="32" t="s">
        <v>35</v>
      </c>
    </row>
    <row r="21" spans="2:9" x14ac:dyDescent="0.25">
      <c r="B21" s="7" t="s">
        <v>19</v>
      </c>
      <c r="C21" s="7"/>
      <c r="D21" s="5">
        <v>60</v>
      </c>
      <c r="E21" s="4">
        <f>D17</f>
        <v>60</v>
      </c>
      <c r="I21" s="40" t="s">
        <v>39</v>
      </c>
    </row>
    <row r="22" spans="2:9" x14ac:dyDescent="0.25">
      <c r="B22" s="7" t="s">
        <v>21</v>
      </c>
      <c r="C22" s="7"/>
      <c r="D22" s="5">
        <v>50</v>
      </c>
      <c r="E22" s="4">
        <f>D18</f>
        <v>30</v>
      </c>
      <c r="I22" s="40" t="s">
        <v>40</v>
      </c>
    </row>
    <row r="23" spans="2:9" x14ac:dyDescent="0.25">
      <c r="B23" s="7" t="s">
        <v>22</v>
      </c>
      <c r="C23" s="7"/>
      <c r="D23" s="5">
        <v>120</v>
      </c>
      <c r="E23" s="4">
        <f>D17+2*D18</f>
        <v>120</v>
      </c>
      <c r="I23" s="40"/>
    </row>
  </sheetData>
  <mergeCells count="3">
    <mergeCell ref="B2:Q6"/>
    <mergeCell ref="B10:P14"/>
    <mergeCell ref="J16:K16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3"/>
  <sheetViews>
    <sheetView showGridLines="0" topLeftCell="A3" workbookViewId="0">
      <selection activeCell="K21" sqref="K21"/>
    </sheetView>
  </sheetViews>
  <sheetFormatPr defaultRowHeight="15" x14ac:dyDescent="0.25"/>
  <cols>
    <col min="3" max="3" width="10.5703125" bestFit="1" customWidth="1"/>
    <col min="4" max="4" width="9.85546875" bestFit="1" customWidth="1"/>
  </cols>
  <sheetData>
    <row r="2" spans="2:17" x14ac:dyDescent="0.25">
      <c r="B2" s="67" t="str">
        <f>CONTEÚDO!B2</f>
        <v>Solver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9"/>
    </row>
    <row r="3" spans="2:17" x14ac:dyDescent="0.25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2"/>
    </row>
    <row r="4" spans="2:17" x14ac:dyDescent="0.25">
      <c r="B4" s="70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2"/>
    </row>
    <row r="5" spans="2:17" x14ac:dyDescent="0.25">
      <c r="B5" s="70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2"/>
    </row>
    <row r="6" spans="2:17" x14ac:dyDescent="0.25">
      <c r="B6" s="73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5"/>
    </row>
    <row r="8" spans="2:17" x14ac:dyDescent="0.25">
      <c r="B8" s="1" t="s">
        <v>23</v>
      </c>
    </row>
    <row r="9" spans="2:17" ht="15.75" thickBot="1" x14ac:dyDescent="0.3"/>
    <row r="10" spans="2:17" ht="15" customHeight="1" x14ac:dyDescent="0.25">
      <c r="B10" s="56" t="s">
        <v>17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8"/>
    </row>
    <row r="11" spans="2:17" x14ac:dyDescent="0.25">
      <c r="B11" s="59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1"/>
    </row>
    <row r="12" spans="2:17" x14ac:dyDescent="0.25">
      <c r="B12" s="59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1"/>
    </row>
    <row r="13" spans="2:17" x14ac:dyDescent="0.25"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1"/>
    </row>
    <row r="14" spans="2:17" x14ac:dyDescent="0.25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4"/>
    </row>
    <row r="16" spans="2:17" x14ac:dyDescent="0.25">
      <c r="D16" s="10" t="s">
        <v>26</v>
      </c>
      <c r="I16" s="3" t="s">
        <v>27</v>
      </c>
      <c r="J16" s="76">
        <f>C17*D17+C18*D18</f>
        <v>19800</v>
      </c>
      <c r="K16" s="77"/>
    </row>
    <row r="17" spans="2:5" x14ac:dyDescent="0.25">
      <c r="B17" s="4" t="s">
        <v>18</v>
      </c>
      <c r="C17" s="8">
        <v>180</v>
      </c>
      <c r="D17" s="6">
        <v>60</v>
      </c>
    </row>
    <row r="18" spans="2:5" x14ac:dyDescent="0.25">
      <c r="B18" s="4" t="s">
        <v>20</v>
      </c>
      <c r="C18" s="8">
        <v>300</v>
      </c>
      <c r="D18" s="6">
        <v>30</v>
      </c>
    </row>
    <row r="19" spans="2:5" x14ac:dyDescent="0.25">
      <c r="D19" s="2"/>
    </row>
    <row r="20" spans="2:5" x14ac:dyDescent="0.25">
      <c r="D20" s="9" t="s">
        <v>24</v>
      </c>
      <c r="E20" s="9" t="s">
        <v>25</v>
      </c>
    </row>
    <row r="21" spans="2:5" x14ac:dyDescent="0.25">
      <c r="B21" s="7" t="s">
        <v>19</v>
      </c>
      <c r="C21" s="7"/>
      <c r="D21" s="5">
        <v>60</v>
      </c>
      <c r="E21" s="4">
        <f>D17</f>
        <v>60</v>
      </c>
    </row>
    <row r="22" spans="2:5" x14ac:dyDescent="0.25">
      <c r="B22" s="7" t="s">
        <v>21</v>
      </c>
      <c r="C22" s="7"/>
      <c r="D22" s="5">
        <v>50</v>
      </c>
      <c r="E22" s="4">
        <f>D18</f>
        <v>30</v>
      </c>
    </row>
    <row r="23" spans="2:5" x14ac:dyDescent="0.25">
      <c r="B23" s="7" t="s">
        <v>22</v>
      </c>
      <c r="C23" s="7"/>
      <c r="D23" s="5">
        <v>120</v>
      </c>
      <c r="E23" s="4">
        <f>D17+2*D18</f>
        <v>120</v>
      </c>
    </row>
  </sheetData>
  <mergeCells count="3">
    <mergeCell ref="B2:Q6"/>
    <mergeCell ref="B10:P14"/>
    <mergeCell ref="J16:K1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CONTEÚDO</vt:lpstr>
      <vt:lpstr>EXERCÍCIO 1</vt:lpstr>
      <vt:lpstr>EXERCÍCIOS 2</vt:lpstr>
      <vt:lpstr>EXERCÍCIOS (SOLUÇÃO)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Jackles Kerley</cp:lastModifiedBy>
  <dcterms:created xsi:type="dcterms:W3CDTF">2015-11-17T16:12:59Z</dcterms:created>
  <dcterms:modified xsi:type="dcterms:W3CDTF">2022-01-24T14:58:00Z</dcterms:modified>
</cp:coreProperties>
</file>