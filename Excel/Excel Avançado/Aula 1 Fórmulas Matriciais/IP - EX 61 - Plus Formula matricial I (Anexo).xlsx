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sers\User\Documents\Cursos\Excel\Excel Avançado\Aula 1 Fórmulas Matriciais\"/>
    </mc:Choice>
  </mc:AlternateContent>
  <bookViews>
    <workbookView xWindow="0" yWindow="0" windowWidth="24000" windowHeight="9030" activeTab="4"/>
  </bookViews>
  <sheets>
    <sheet name="CONTEÚDO" sheetId="1" r:id="rId1"/>
    <sheet name="EXPLICAÇÃO" sheetId="4" r:id="rId2"/>
    <sheet name="CONTEÚDO (2)" sheetId="5" r:id="rId3"/>
    <sheet name="EXERCÍCIOS" sheetId="6" r:id="rId4"/>
    <sheet name="EXERCICIO 2" sheetId="7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7" l="1" a="1"/>
  <c r="J5" i="7" s="1"/>
  <c r="J6" i="7" a="1"/>
  <c r="J6" i="7"/>
  <c r="J7" i="7" a="1"/>
  <c r="J7" i="7" s="1"/>
  <c r="J8" i="7" a="1"/>
  <c r="J8" i="7"/>
  <c r="J9" i="7" a="1"/>
  <c r="J9" i="7" s="1"/>
  <c r="J10" i="7" a="1"/>
  <c r="J10" i="7"/>
  <c r="J11" i="7" a="1"/>
  <c r="J11" i="7" s="1"/>
  <c r="J12" i="7" a="1"/>
  <c r="J12" i="7" s="1"/>
  <c r="J4" i="7" a="1"/>
  <c r="J4" i="7" s="1"/>
  <c r="E11" i="6" a="1"/>
  <c r="E11" i="6" s="1"/>
  <c r="G27" i="4" a="1"/>
  <c r="G27" i="4" s="1"/>
  <c r="G24" i="4"/>
  <c r="G25" i="4"/>
  <c r="G23" i="4"/>
  <c r="I16" i="4" a="1"/>
  <c r="I16" i="4" s="1"/>
  <c r="C11" i="4" a="1"/>
  <c r="C11" i="4" s="1"/>
  <c r="I20" i="4"/>
  <c r="C22" i="4" l="1"/>
  <c r="C18" i="4"/>
  <c r="C14" i="4"/>
  <c r="C21" i="4"/>
  <c r="C17" i="4"/>
  <c r="C13" i="4"/>
  <c r="C24" i="4"/>
  <c r="C20" i="4"/>
  <c r="C16" i="4"/>
  <c r="C12" i="4"/>
  <c r="C23" i="4"/>
  <c r="C19" i="4"/>
  <c r="C15" i="4"/>
  <c r="B2" i="6"/>
</calcChain>
</file>

<file path=xl/sharedStrings.xml><?xml version="1.0" encoding="utf-8"?>
<sst xmlns="http://schemas.openxmlformats.org/spreadsheetml/2006/main" count="192" uniqueCount="52">
  <si>
    <t>CONCEITO</t>
  </si>
  <si>
    <t>Quantas vezes um dado valor se repete?</t>
  </si>
  <si>
    <t>Valor:</t>
  </si>
  <si>
    <t>Repetições:</t>
  </si>
  <si>
    <t>COM FÓRMULA MATRICIAL</t>
  </si>
  <si>
    <t>OUTRO MODO</t>
  </si>
  <si>
    <t>MTZ IMAG.</t>
  </si>
  <si>
    <t>VALORES:</t>
  </si>
  <si>
    <t>Fórmula Matricial</t>
  </si>
  <si>
    <t>&gt;&gt; ONE-LINER &lt;&lt;</t>
  </si>
  <si>
    <t>&gt;&gt; CONTEÚDO DA AULA &lt;&lt;</t>
  </si>
  <si>
    <t>4. Formatação de gráficos</t>
  </si>
  <si>
    <t>1. O que é?</t>
  </si>
  <si>
    <t>2. Regras de uso</t>
  </si>
  <si>
    <t>3. Exemplos</t>
  </si>
  <si>
    <t>"A fórmula matricial permite você comparar uma única célula com um conjunto de valores. Premissas de sua utilização são ao menos duas funções na fórmula e crtl+sift+enter."</t>
  </si>
  <si>
    <t>Fórmula Matricial II</t>
  </si>
  <si>
    <t>"A fórmula matricial combinado com duas funções SEs permite você checar, também, se todos os critérios são satisfeitos e retornar seu valor respectivo à linha a qual ambos os valores são verdadeiros."</t>
  </si>
  <si>
    <t>1. Exemplos</t>
  </si>
  <si>
    <t>2. Formatação de gráficos</t>
  </si>
  <si>
    <t>PLANO DE AÇÃO</t>
  </si>
  <si>
    <t xml:space="preserve">Quantidade de ações em atraso: </t>
  </si>
  <si>
    <t>O QUE</t>
  </si>
  <si>
    <t>QUEM</t>
  </si>
  <si>
    <t>PRAZO</t>
  </si>
  <si>
    <t>SITUAÇÃO</t>
  </si>
  <si>
    <t>Realizar levantamento de mercado no interior do estado para novas oportunidades</t>
  </si>
  <si>
    <t>Sérgio</t>
  </si>
  <si>
    <t>Concluído</t>
  </si>
  <si>
    <t>Participar da licitação na prefeitura de Miracatu/SP</t>
  </si>
  <si>
    <t>Augusto</t>
  </si>
  <si>
    <t>Em andamento</t>
  </si>
  <si>
    <t>Aumentar a quantidade de contratos com clientes na região de Registro/SP</t>
  </si>
  <si>
    <t>Vilella</t>
  </si>
  <si>
    <t>Oferecer suporte para lidar com as concorrências de mercado com foco em inovação</t>
  </si>
  <si>
    <t>Adalberto</t>
  </si>
  <si>
    <t>Data</t>
  </si>
  <si>
    <t>Linha</t>
  </si>
  <si>
    <t>Vendedor</t>
  </si>
  <si>
    <t>Valor</t>
  </si>
  <si>
    <t>Linha Branca</t>
  </si>
  <si>
    <t>Vendedor 1</t>
  </si>
  <si>
    <t>Maior venda</t>
  </si>
  <si>
    <t>Vendedor 2</t>
  </si>
  <si>
    <t>Vendedor 3</t>
  </si>
  <si>
    <t>Eletrônicos</t>
  </si>
  <si>
    <t>Vendedor 4</t>
  </si>
  <si>
    <t>Celulares</t>
  </si>
  <si>
    <t>Vendedor 5</t>
  </si>
  <si>
    <t>Vendedor 6</t>
  </si>
  <si>
    <t>CRTL+SHIFT+ENTER</t>
  </si>
  <si>
    <t>Matricial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</si>
</sst>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b/>
      <i/>
      <sz val="10"/>
      <color rgb="FFE45286"/>
      <name val="Calibri"/>
      <family val="2"/>
      <scheme val="minor"/>
    </font>
    <font>
      <b/>
      <sz val="14"/>
      <color rgb="FFE45286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24086"/>
        <bgColor indexed="64"/>
      </patternFill>
    </fill>
    <fill>
      <patternFill patternType="solid">
        <fgColor rgb="FFE4528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5286"/>
        <bgColor theme="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indexed="64"/>
      </right>
      <top/>
      <bottom style="medium">
        <color theme="0" tint="-0.499984740745262"/>
      </bottom>
      <diagonal/>
    </border>
    <border>
      <left style="thin">
        <color indexed="64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0" tint="-0.499984740745262"/>
      </right>
      <top style="thin">
        <color theme="4"/>
      </top>
      <bottom/>
      <diagonal/>
    </border>
    <border>
      <left style="medium">
        <color theme="0" tint="-0.499984740745262"/>
      </left>
      <right/>
      <top style="thin">
        <color theme="4"/>
      </top>
      <bottom style="thin">
        <color theme="0" tint="-0.499984740745262"/>
      </bottom>
      <diagonal/>
    </border>
    <border>
      <left/>
      <right/>
      <top style="thin">
        <color theme="4"/>
      </top>
      <bottom style="thin">
        <color theme="0" tint="-0.499984740745262"/>
      </bottom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75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6" fillId="4" borderId="14" xfId="0" applyFont="1" applyFill="1" applyBorder="1"/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0" fillId="4" borderId="15" xfId="0" applyFill="1" applyBorder="1"/>
    <xf numFmtId="0" fontId="0" fillId="4" borderId="16" xfId="0" applyFill="1" applyBorder="1"/>
    <xf numFmtId="0" fontId="8" fillId="4" borderId="20" xfId="0" applyFont="1" applyFill="1" applyBorder="1"/>
    <xf numFmtId="0" fontId="0" fillId="4" borderId="0" xfId="0" applyFill="1"/>
    <xf numFmtId="0" fontId="8" fillId="4" borderId="0" xfId="0" applyFont="1" applyFill="1"/>
    <xf numFmtId="0" fontId="8" fillId="4" borderId="21" xfId="0" applyFont="1" applyFill="1" applyBorder="1"/>
    <xf numFmtId="0" fontId="8" fillId="4" borderId="17" xfId="0" applyFont="1" applyFill="1" applyBorder="1"/>
    <xf numFmtId="0" fontId="0" fillId="4" borderId="18" xfId="0" applyFill="1" applyBorder="1"/>
    <xf numFmtId="0" fontId="0" fillId="4" borderId="19" xfId="0" applyFill="1" applyBorder="1"/>
    <xf numFmtId="0" fontId="0" fillId="0" borderId="18" xfId="0" applyBorder="1"/>
    <xf numFmtId="0" fontId="9" fillId="0" borderId="18" xfId="0" applyFont="1" applyBorder="1"/>
    <xf numFmtId="0" fontId="9" fillId="2" borderId="5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11" fillId="6" borderId="5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6" fillId="4" borderId="31" xfId="0" applyFont="1" applyFill="1" applyBorder="1" applyAlignment="1">
      <alignment horizontal="center"/>
    </xf>
    <xf numFmtId="0" fontId="17" fillId="7" borderId="5" xfId="0" applyFont="1" applyFill="1" applyBorder="1" applyAlignment="1">
      <alignment horizontal="center" vertical="top" wrapText="1"/>
    </xf>
    <xf numFmtId="0" fontId="18" fillId="0" borderId="5" xfId="0" applyFont="1" applyBorder="1" applyAlignment="1">
      <alignment vertical="top" wrapText="1"/>
    </xf>
    <xf numFmtId="0" fontId="18" fillId="0" borderId="5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center" vertical="top" wrapText="1"/>
    </xf>
    <xf numFmtId="0" fontId="18" fillId="8" borderId="5" xfId="0" applyFont="1" applyFill="1" applyBorder="1" applyAlignment="1">
      <alignment horizontal="center" vertical="top" wrapText="1"/>
    </xf>
    <xf numFmtId="14" fontId="0" fillId="0" borderId="0" xfId="0" applyNumberFormat="1"/>
    <xf numFmtId="0" fontId="18" fillId="9" borderId="5" xfId="0" applyFont="1" applyFill="1" applyBorder="1" applyAlignment="1">
      <alignment horizontal="center" vertical="top" wrapText="1"/>
    </xf>
    <xf numFmtId="0" fontId="2" fillId="7" borderId="32" xfId="0" applyFont="1" applyFill="1" applyBorder="1" applyAlignment="1">
      <alignment horizontal="center"/>
    </xf>
    <xf numFmtId="16" fontId="0" fillId="0" borderId="32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43" fontId="0" fillId="0" borderId="32" xfId="1" applyFont="1" applyBorder="1" applyAlignment="1">
      <alignment horizontal="center"/>
    </xf>
    <xf numFmtId="0" fontId="14" fillId="10" borderId="14" xfId="0" applyFont="1" applyFill="1" applyBorder="1" applyAlignment="1">
      <alignment horizontal="center"/>
    </xf>
    <xf numFmtId="0" fontId="14" fillId="10" borderId="15" xfId="0" applyFont="1" applyFill="1" applyBorder="1" applyAlignment="1">
      <alignment horizontal="center"/>
    </xf>
    <xf numFmtId="0" fontId="14" fillId="10" borderId="16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44" fontId="0" fillId="0" borderId="35" xfId="2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19" fillId="0" borderId="0" xfId="0" applyFont="1"/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4" borderId="17" xfId="0" applyFont="1" applyFill="1" applyBorder="1" applyAlignment="1">
      <alignment horizontal="left" wrapText="1"/>
    </xf>
    <xf numFmtId="0" fontId="7" fillId="4" borderId="18" xfId="0" applyFont="1" applyFill="1" applyBorder="1" applyAlignment="1">
      <alignment horizontal="left" wrapText="1"/>
    </xf>
    <xf numFmtId="0" fontId="7" fillId="4" borderId="19" xfId="0" applyFont="1" applyFill="1" applyBorder="1" applyAlignment="1">
      <alignment horizontal="left" wrapText="1"/>
    </xf>
    <xf numFmtId="0" fontId="10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5" fillId="6" borderId="28" xfId="0" applyFont="1" applyFill="1" applyBorder="1" applyAlignment="1">
      <alignment horizontal="center"/>
    </xf>
    <xf numFmtId="0" fontId="15" fillId="6" borderId="29" xfId="0" applyFont="1" applyFill="1" applyBorder="1" applyAlignment="1">
      <alignment horizontal="center"/>
    </xf>
    <xf numFmtId="0" fontId="15" fillId="6" borderId="30" xfId="0" applyFont="1" applyFill="1" applyBorder="1" applyAlignment="1">
      <alignment horizontal="center"/>
    </xf>
    <xf numFmtId="0" fontId="9" fillId="0" borderId="0" xfId="0" applyFont="1" applyAlignment="1">
      <alignment horizontal="right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224086"/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B4BBE9B4-9EA9-4873-9E84-4D875E691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C2D7EC-F762-4A01-A001-C8939F43F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438150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357B525F-2E19-4783-BBFC-BD54A8520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31482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F0BD25-3965-4A42-922C-0BA5B69FD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2" name="Imagem 1">
          <a:extLst>
            <a:ext uri="{FF2B5EF4-FFF2-40B4-BE49-F238E27FC236}">
              <a16:creationId xmlns:a16="http://schemas.microsoft.com/office/drawing/2014/main" id="{72ABB78A-79EE-478B-9276-1C1F9471C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3D4515-C49F-48C9-8E01-C71D5C9EC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638175</xdr:colOff>
      <xdr:row>4</xdr:row>
      <xdr:rowOff>66675</xdr:rowOff>
    </xdr:from>
    <xdr:ext cx="3200000" cy="257143"/>
    <xdr:pic>
      <xdr:nvPicPr>
        <xdr:cNvPr id="2" name="Imagem 1">
          <a:extLst>
            <a:ext uri="{FF2B5EF4-FFF2-40B4-BE49-F238E27FC236}">
              <a16:creationId xmlns:a16="http://schemas.microsoft.com/office/drawing/2014/main" id="{EE4C3B1A-24D8-43D3-B0FB-B1551C264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31495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02A750-5D6A-45C6-97A3-6613035B0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5"/>
  <sheetViews>
    <sheetView showGridLines="0" workbookViewId="0">
      <selection activeCell="F11" sqref="F11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54" t="s">
        <v>8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</row>
    <row r="3" spans="2:17" ht="15" customHeight="1" x14ac:dyDescent="0.25">
      <c r="B3" s="57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9"/>
    </row>
    <row r="4" spans="2:17" ht="15" customHeight="1" x14ac:dyDescent="0.25">
      <c r="B4" s="57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9"/>
    </row>
    <row r="5" spans="2:17" ht="15" customHeight="1" x14ac:dyDescent="0.25">
      <c r="B5" s="57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9"/>
    </row>
    <row r="6" spans="2:17" ht="15" customHeight="1" x14ac:dyDescent="0.25">
      <c r="B6" s="60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2"/>
    </row>
    <row r="7" spans="2:17" ht="15.75" thickBot="1" x14ac:dyDescent="0.3"/>
    <row r="8" spans="2:17" ht="17.25" customHeight="1" x14ac:dyDescent="0.25">
      <c r="B8" s="4" t="s">
        <v>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6"/>
    </row>
    <row r="9" spans="2:17" ht="32.25" customHeight="1" x14ac:dyDescent="0.25">
      <c r="B9" s="63" t="s">
        <v>15</v>
      </c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5"/>
    </row>
    <row r="10" spans="2:17" ht="6" customHeight="1" thickBot="1" x14ac:dyDescent="0.3"/>
    <row r="11" spans="2:17" ht="15.75" x14ac:dyDescent="0.25">
      <c r="B11" s="4" t="s">
        <v>10</v>
      </c>
      <c r="C11" s="7"/>
      <c r="D11" s="7"/>
      <c r="E11" s="8"/>
    </row>
    <row r="12" spans="2:17" x14ac:dyDescent="0.25">
      <c r="B12" s="9" t="s">
        <v>12</v>
      </c>
      <c r="C12" s="10"/>
      <c r="D12" s="11"/>
      <c r="E12" s="12"/>
    </row>
    <row r="13" spans="2:17" x14ac:dyDescent="0.25">
      <c r="B13" s="9" t="s">
        <v>13</v>
      </c>
      <c r="C13" s="10"/>
      <c r="D13" s="11"/>
      <c r="E13" s="12"/>
    </row>
    <row r="14" spans="2:17" x14ac:dyDescent="0.25">
      <c r="B14" s="9" t="s">
        <v>14</v>
      </c>
      <c r="C14" s="10"/>
      <c r="D14" s="11"/>
      <c r="E14" s="12"/>
    </row>
    <row r="15" spans="2:17" x14ac:dyDescent="0.25">
      <c r="B15" s="13" t="s">
        <v>11</v>
      </c>
      <c r="C15" s="14"/>
      <c r="D15" s="14"/>
      <c r="E15" s="15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7"/>
  <sheetViews>
    <sheetView showGridLines="0" topLeftCell="A10" workbookViewId="0">
      <selection activeCell="J25" sqref="J25"/>
    </sheetView>
  </sheetViews>
  <sheetFormatPr defaultRowHeight="15" x14ac:dyDescent="0.25"/>
  <cols>
    <col min="3" max="3" width="13.85546875" customWidth="1"/>
    <col min="6" max="6" width="12.42578125" bestFit="1" customWidth="1"/>
    <col min="8" max="8" width="11.42578125" bestFit="1" customWidth="1"/>
    <col min="9" max="9" width="12" bestFit="1" customWidth="1"/>
    <col min="13" max="13" width="12.42578125" bestFit="1" customWidth="1"/>
  </cols>
  <sheetData>
    <row r="1" spans="2:17" ht="15.75" thickBot="1" x14ac:dyDescent="0.3"/>
    <row r="2" spans="2:17" ht="15" customHeight="1" x14ac:dyDescent="0.25">
      <c r="B2" s="54" t="s">
        <v>8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</row>
    <row r="3" spans="2:17" ht="15" customHeight="1" x14ac:dyDescent="0.25">
      <c r="B3" s="57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9"/>
    </row>
    <row r="4" spans="2:17" ht="15" customHeight="1" x14ac:dyDescent="0.25">
      <c r="B4" s="57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9"/>
    </row>
    <row r="5" spans="2:17" ht="15" customHeight="1" x14ac:dyDescent="0.25">
      <c r="B5" s="57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9"/>
    </row>
    <row r="6" spans="2:17" ht="15" customHeight="1" x14ac:dyDescent="0.25">
      <c r="B6" s="60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2"/>
    </row>
    <row r="8" spans="2:17" x14ac:dyDescent="0.25">
      <c r="B8" s="17" t="s">
        <v>0</v>
      </c>
      <c r="C8" s="16"/>
    </row>
    <row r="9" spans="2:17" ht="5.25" customHeight="1" x14ac:dyDescent="0.25"/>
    <row r="10" spans="2:17" ht="15.75" thickBot="1" x14ac:dyDescent="0.3">
      <c r="B10" s="30" t="s">
        <v>7</v>
      </c>
      <c r="C10" s="3" t="s">
        <v>6</v>
      </c>
      <c r="E10" s="1"/>
      <c r="F10" s="1"/>
    </row>
    <row r="11" spans="2:17" x14ac:dyDescent="0.25">
      <c r="B11" s="24">
        <v>12</v>
      </c>
      <c r="C11" s="25">
        <f t="array" ref="C11:C24">IF(B11:B24=F16,1,0)</f>
        <v>1</v>
      </c>
      <c r="E11" s="66" t="s">
        <v>1</v>
      </c>
      <c r="F11" s="66"/>
    </row>
    <row r="12" spans="2:17" x14ac:dyDescent="0.25">
      <c r="B12" s="26">
        <v>15</v>
      </c>
      <c r="C12" s="27">
        <v>0</v>
      </c>
      <c r="E12" s="66"/>
      <c r="F12" s="66"/>
      <c r="H12" t="s">
        <v>50</v>
      </c>
    </row>
    <row r="13" spans="2:17" x14ac:dyDescent="0.25">
      <c r="B13" s="26">
        <v>14</v>
      </c>
      <c r="C13" s="27">
        <v>0</v>
      </c>
      <c r="E13" s="66"/>
      <c r="F13" s="66"/>
    </row>
    <row r="14" spans="2:17" x14ac:dyDescent="0.25">
      <c r="B14" s="26">
        <v>13</v>
      </c>
      <c r="C14" s="27">
        <v>0</v>
      </c>
      <c r="E14" s="66"/>
      <c r="F14" s="66"/>
      <c r="H14" s="67" t="s">
        <v>4</v>
      </c>
      <c r="I14" s="68"/>
    </row>
    <row r="15" spans="2:17" x14ac:dyDescent="0.25">
      <c r="B15" s="26">
        <v>19</v>
      </c>
      <c r="C15" s="27">
        <v>0</v>
      </c>
      <c r="E15" s="2"/>
      <c r="F15" s="1"/>
      <c r="H15" s="69"/>
      <c r="I15" s="70"/>
    </row>
    <row r="16" spans="2:17" ht="15.75" x14ac:dyDescent="0.25">
      <c r="B16" s="26">
        <v>12</v>
      </c>
      <c r="C16" s="27">
        <v>1</v>
      </c>
      <c r="E16" s="18" t="s">
        <v>2</v>
      </c>
      <c r="F16" s="21">
        <v>12</v>
      </c>
      <c r="G16" s="31"/>
      <c r="H16" s="18" t="s">
        <v>3</v>
      </c>
      <c r="I16" s="20">
        <f t="array" ref="I16">SUM(IF(B11:B24=F16,1,0))</f>
        <v>3</v>
      </c>
    </row>
    <row r="17" spans="2:14" x14ac:dyDescent="0.25">
      <c r="B17" s="26">
        <v>10</v>
      </c>
      <c r="C17" s="27">
        <v>0</v>
      </c>
      <c r="E17" s="1"/>
      <c r="F17" s="22"/>
      <c r="G17" s="31"/>
    </row>
    <row r="18" spans="2:14" x14ac:dyDescent="0.25">
      <c r="B18" s="26">
        <v>12</v>
      </c>
      <c r="C18" s="27">
        <v>1</v>
      </c>
      <c r="F18" s="23"/>
      <c r="G18" s="31"/>
      <c r="H18" s="67" t="s">
        <v>5</v>
      </c>
      <c r="I18" s="68"/>
    </row>
    <row r="19" spans="2:14" x14ac:dyDescent="0.25">
      <c r="B19" s="26">
        <v>11</v>
      </c>
      <c r="C19" s="27">
        <v>0</v>
      </c>
      <c r="E19" s="1"/>
      <c r="F19" s="1"/>
      <c r="H19" s="69"/>
      <c r="I19" s="70"/>
      <c r="N19" s="19"/>
    </row>
    <row r="20" spans="2:14" ht="15.75" x14ac:dyDescent="0.25">
      <c r="B20" s="26">
        <v>15</v>
      </c>
      <c r="C20" s="27">
        <v>0</v>
      </c>
      <c r="H20" s="18" t="s">
        <v>3</v>
      </c>
      <c r="I20" s="20">
        <f>COUNTIF(B11:B24,F16)</f>
        <v>3</v>
      </c>
      <c r="K20" s="19"/>
      <c r="L20" s="19"/>
      <c r="M20" s="19"/>
      <c r="N20" s="19"/>
    </row>
    <row r="21" spans="2:14" x14ac:dyDescent="0.25">
      <c r="B21" s="26">
        <v>16</v>
      </c>
      <c r="C21" s="27">
        <v>0</v>
      </c>
      <c r="E21" s="1"/>
      <c r="F21" s="1"/>
      <c r="K21" s="19"/>
      <c r="L21" s="19"/>
      <c r="M21" s="19"/>
      <c r="N21" s="19"/>
    </row>
    <row r="22" spans="2:14" x14ac:dyDescent="0.25">
      <c r="B22" s="26">
        <v>13</v>
      </c>
      <c r="C22" s="27">
        <v>0</v>
      </c>
      <c r="E22" s="1"/>
      <c r="F22" s="1"/>
      <c r="K22" s="19"/>
      <c r="L22" s="19"/>
      <c r="M22" s="19"/>
      <c r="N22" s="19"/>
    </row>
    <row r="23" spans="2:14" ht="15" customHeight="1" x14ac:dyDescent="0.25">
      <c r="B23" s="26">
        <v>16</v>
      </c>
      <c r="C23" s="27">
        <v>0</v>
      </c>
      <c r="E23" s="18" t="s">
        <v>2</v>
      </c>
      <c r="F23" s="21">
        <v>12</v>
      </c>
      <c r="G23">
        <f>COUNTIF($B$11:$B$24,F23)</f>
        <v>3</v>
      </c>
    </row>
    <row r="24" spans="2:14" ht="15.75" thickBot="1" x14ac:dyDescent="0.3">
      <c r="B24" s="28">
        <v>18</v>
      </c>
      <c r="C24" s="29">
        <v>0</v>
      </c>
      <c r="E24" s="18" t="s">
        <v>2</v>
      </c>
      <c r="F24" s="21">
        <v>13</v>
      </c>
      <c r="G24">
        <f t="shared" ref="G24:G25" si="0">COUNTIF($B$11:$B$24,F24)</f>
        <v>2</v>
      </c>
    </row>
    <row r="25" spans="2:14" x14ac:dyDescent="0.25">
      <c r="E25" s="18" t="s">
        <v>2</v>
      </c>
      <c r="F25" s="21">
        <v>14</v>
      </c>
      <c r="G25">
        <f t="shared" si="0"/>
        <v>1</v>
      </c>
    </row>
    <row r="27" spans="2:14" x14ac:dyDescent="0.25">
      <c r="F27" t="s">
        <v>51</v>
      </c>
      <c r="G27">
        <f t="array" ref="G27">SUM(COUNTIF(B11:B24,F23:F25))</f>
        <v>6</v>
      </c>
    </row>
  </sheetData>
  <mergeCells count="4">
    <mergeCell ref="E11:F14"/>
    <mergeCell ref="H14:I15"/>
    <mergeCell ref="H18:I19"/>
    <mergeCell ref="B2:Q6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4"/>
  <sheetViews>
    <sheetView showGridLines="0" workbookViewId="0">
      <selection activeCell="H21" sqref="H21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54" t="s">
        <v>16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</row>
    <row r="3" spans="2:17" ht="15" customHeight="1" x14ac:dyDescent="0.25">
      <c r="B3" s="57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9"/>
    </row>
    <row r="4" spans="2:17" ht="15" customHeight="1" x14ac:dyDescent="0.25">
      <c r="B4" s="57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9"/>
    </row>
    <row r="5" spans="2:17" ht="15" customHeight="1" x14ac:dyDescent="0.25">
      <c r="B5" s="57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9"/>
    </row>
    <row r="6" spans="2:17" ht="15" customHeight="1" x14ac:dyDescent="0.25">
      <c r="B6" s="60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2"/>
    </row>
    <row r="7" spans="2:17" ht="15.75" thickBot="1" x14ac:dyDescent="0.3"/>
    <row r="8" spans="2:17" ht="17.25" customHeight="1" x14ac:dyDescent="0.25">
      <c r="B8" s="4" t="s">
        <v>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6"/>
    </row>
    <row r="9" spans="2:17" ht="32.25" customHeight="1" x14ac:dyDescent="0.25">
      <c r="B9" s="63" t="s">
        <v>17</v>
      </c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5"/>
    </row>
    <row r="10" spans="2:17" ht="6" customHeight="1" thickBot="1" x14ac:dyDescent="0.3"/>
    <row r="11" spans="2:17" ht="15.75" x14ac:dyDescent="0.25">
      <c r="B11" s="4" t="s">
        <v>10</v>
      </c>
      <c r="C11" s="7"/>
      <c r="D11" s="7"/>
      <c r="E11" s="8"/>
    </row>
    <row r="12" spans="2:17" x14ac:dyDescent="0.25">
      <c r="B12" s="9" t="s">
        <v>18</v>
      </c>
      <c r="C12" s="10"/>
      <c r="D12" s="11"/>
      <c r="E12" s="12"/>
    </row>
    <row r="13" spans="2:17" x14ac:dyDescent="0.25">
      <c r="B13" s="9" t="s">
        <v>19</v>
      </c>
      <c r="C13" s="10"/>
      <c r="D13" s="11"/>
      <c r="E13" s="12"/>
    </row>
    <row r="14" spans="2:17" ht="5.25" customHeight="1" x14ac:dyDescent="0.25">
      <c r="B14" s="13"/>
      <c r="C14" s="14"/>
      <c r="D14" s="14"/>
      <c r="E14" s="15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7"/>
  <sheetViews>
    <sheetView showGridLines="0" topLeftCell="A7" workbookViewId="0">
      <selection activeCell="I15" sqref="I15"/>
    </sheetView>
  </sheetViews>
  <sheetFormatPr defaultRowHeight="15" x14ac:dyDescent="0.25"/>
  <cols>
    <col min="2" max="2" width="22.140625" customWidth="1"/>
    <col min="3" max="3" width="16.7109375" customWidth="1"/>
    <col min="4" max="4" width="22.140625" customWidth="1"/>
    <col min="5" max="5" width="18" customWidth="1"/>
    <col min="7" max="7" width="10.7109375" bestFit="1" customWidth="1"/>
  </cols>
  <sheetData>
    <row r="1" spans="2:17" ht="15.75" thickBot="1" x14ac:dyDescent="0.3"/>
    <row r="2" spans="2:17" ht="15" customHeight="1" x14ac:dyDescent="0.25">
      <c r="B2" s="54" t="str">
        <f>'CONTEÚDO (2)'!B2</f>
        <v>Fórmula Matricial II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</row>
    <row r="3" spans="2:17" ht="15" customHeight="1" x14ac:dyDescent="0.25">
      <c r="B3" s="57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9"/>
    </row>
    <row r="4" spans="2:17" ht="15" customHeight="1" x14ac:dyDescent="0.25">
      <c r="B4" s="57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9"/>
    </row>
    <row r="5" spans="2:17" ht="15" customHeight="1" x14ac:dyDescent="0.25">
      <c r="B5" s="57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9"/>
    </row>
    <row r="6" spans="2:17" ht="15" customHeight="1" x14ac:dyDescent="0.25">
      <c r="B6" s="60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2"/>
    </row>
    <row r="8" spans="2:17" ht="15.75" thickBot="1" x14ac:dyDescent="0.3">
      <c r="B8" s="32"/>
    </row>
    <row r="9" spans="2:17" ht="19.5" thickBot="1" x14ac:dyDescent="0.35">
      <c r="B9" s="71" t="s">
        <v>20</v>
      </c>
      <c r="C9" s="72"/>
      <c r="D9" s="72"/>
      <c r="E9" s="73"/>
    </row>
    <row r="10" spans="2:17" ht="6" customHeight="1" thickBot="1" x14ac:dyDescent="0.3"/>
    <row r="11" spans="2:17" ht="15.75" x14ac:dyDescent="0.25">
      <c r="B11" s="74" t="s">
        <v>21</v>
      </c>
      <c r="C11" s="74"/>
      <c r="D11" s="74"/>
      <c r="E11" s="33">
        <f t="array" aca="1" ref="E11" ca="1">SUM(IF(D14:D17&lt;TODAY(),IF(E14:E17="Em andamento",1,0)))</f>
        <v>2</v>
      </c>
    </row>
    <row r="12" spans="2:17" ht="6" customHeight="1" x14ac:dyDescent="0.25"/>
    <row r="13" spans="2:17" x14ac:dyDescent="0.25">
      <c r="B13" s="34" t="s">
        <v>22</v>
      </c>
      <c r="C13" s="34" t="s">
        <v>23</v>
      </c>
      <c r="D13" s="34" t="s">
        <v>24</v>
      </c>
      <c r="E13" s="34" t="s">
        <v>25</v>
      </c>
    </row>
    <row r="14" spans="2:17" ht="51" x14ac:dyDescent="0.25">
      <c r="B14" s="35" t="s">
        <v>26</v>
      </c>
      <c r="C14" s="36" t="s">
        <v>27</v>
      </c>
      <c r="D14" s="37">
        <v>42425</v>
      </c>
      <c r="E14" s="38" t="s">
        <v>28</v>
      </c>
      <c r="G14" s="39"/>
    </row>
    <row r="15" spans="2:17" ht="38.25" x14ac:dyDescent="0.25">
      <c r="B15" s="35" t="s">
        <v>29</v>
      </c>
      <c r="C15" s="36" t="s">
        <v>30</v>
      </c>
      <c r="D15" s="37">
        <v>42465</v>
      </c>
      <c r="E15" s="40" t="s">
        <v>31</v>
      </c>
    </row>
    <row r="16" spans="2:17" ht="51" x14ac:dyDescent="0.25">
      <c r="B16" s="35" t="s">
        <v>32</v>
      </c>
      <c r="C16" s="36" t="s">
        <v>33</v>
      </c>
      <c r="D16" s="37">
        <v>42641</v>
      </c>
      <c r="E16" s="40" t="s">
        <v>31</v>
      </c>
    </row>
    <row r="17" spans="2:5" ht="63.75" x14ac:dyDescent="0.25">
      <c r="B17" s="35" t="s">
        <v>34</v>
      </c>
      <c r="C17" s="36" t="s">
        <v>35</v>
      </c>
      <c r="D17" s="37">
        <v>42457</v>
      </c>
      <c r="E17" s="38" t="s">
        <v>28</v>
      </c>
    </row>
  </sheetData>
  <mergeCells count="3">
    <mergeCell ref="B2:Q6"/>
    <mergeCell ref="B9:E9"/>
    <mergeCell ref="B11:D1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2"/>
  <sheetViews>
    <sheetView showGridLines="0" tabSelected="1" workbookViewId="0">
      <selection activeCell="J7" sqref="J7"/>
    </sheetView>
  </sheetViews>
  <sheetFormatPr defaultRowHeight="15" x14ac:dyDescent="0.25"/>
  <cols>
    <col min="2" max="2" width="10.28515625" customWidth="1"/>
    <col min="3" max="3" width="12" bestFit="1" customWidth="1"/>
    <col min="4" max="4" width="11.28515625" bestFit="1" customWidth="1"/>
    <col min="5" max="5" width="9.5703125" bestFit="1" customWidth="1"/>
    <col min="8" max="8" width="16.28515625" customWidth="1"/>
    <col min="9" max="10" width="17.28515625" customWidth="1"/>
  </cols>
  <sheetData>
    <row r="2" spans="2:10" ht="15.75" thickBot="1" x14ac:dyDescent="0.3">
      <c r="B2" s="41" t="s">
        <v>36</v>
      </c>
      <c r="C2" s="41" t="s">
        <v>37</v>
      </c>
      <c r="D2" s="41" t="s">
        <v>38</v>
      </c>
      <c r="E2" s="41" t="s">
        <v>39</v>
      </c>
    </row>
    <row r="3" spans="2:10" x14ac:dyDescent="0.25">
      <c r="B3" s="42">
        <v>41061</v>
      </c>
      <c r="C3" s="43" t="s">
        <v>40</v>
      </c>
      <c r="D3" s="43" t="s">
        <v>41</v>
      </c>
      <c r="E3" s="44">
        <v>3597</v>
      </c>
      <c r="H3" s="45" t="s">
        <v>38</v>
      </c>
      <c r="I3" s="46" t="s">
        <v>37</v>
      </c>
      <c r="J3" s="47" t="s">
        <v>42</v>
      </c>
    </row>
    <row r="4" spans="2:10" x14ac:dyDescent="0.25">
      <c r="B4" s="42">
        <v>41062</v>
      </c>
      <c r="C4" s="43" t="s">
        <v>40</v>
      </c>
      <c r="D4" s="43" t="s">
        <v>43</v>
      </c>
      <c r="E4" s="44">
        <v>7115</v>
      </c>
      <c r="H4" s="48" t="s">
        <v>41</v>
      </c>
      <c r="I4" s="49" t="s">
        <v>40</v>
      </c>
      <c r="J4" s="50">
        <f t="array" ref="J4">MAX(IF(H4=$D$3:$D$62,IF(I4=$C$3:$C$62,$E$3:$E$62)))</f>
        <v>9754</v>
      </c>
    </row>
    <row r="5" spans="2:10" x14ac:dyDescent="0.25">
      <c r="B5" s="42">
        <v>41063</v>
      </c>
      <c r="C5" s="43" t="s">
        <v>40</v>
      </c>
      <c r="D5" s="43" t="s">
        <v>44</v>
      </c>
      <c r="E5" s="44">
        <v>2964</v>
      </c>
      <c r="H5" s="48" t="s">
        <v>41</v>
      </c>
      <c r="I5" s="49" t="s">
        <v>45</v>
      </c>
      <c r="J5" s="50">
        <f t="array" ref="J5">MAX(IF(H5=$D$3:$D$62,IF(I5=$C$3:$C$62,$E$3:$E$62)))</f>
        <v>6744</v>
      </c>
    </row>
    <row r="6" spans="2:10" x14ac:dyDescent="0.25">
      <c r="B6" s="42">
        <v>41064</v>
      </c>
      <c r="C6" s="43" t="s">
        <v>40</v>
      </c>
      <c r="D6" s="43" t="s">
        <v>46</v>
      </c>
      <c r="E6" s="44">
        <v>7972</v>
      </c>
      <c r="H6" s="48" t="s">
        <v>41</v>
      </c>
      <c r="I6" s="49" t="s">
        <v>47</v>
      </c>
      <c r="J6" s="50">
        <f t="array" ref="J6">MAX(IF(H6=$D$3:$D$62,IF(I6=$C$3:$C$62,$E$3:$E$62)))</f>
        <v>8599</v>
      </c>
    </row>
    <row r="7" spans="2:10" x14ac:dyDescent="0.25">
      <c r="B7" s="42">
        <v>41065</v>
      </c>
      <c r="C7" s="43" t="s">
        <v>40</v>
      </c>
      <c r="D7" s="43" t="s">
        <v>48</v>
      </c>
      <c r="E7" s="44">
        <v>1253</v>
      </c>
      <c r="H7" s="48" t="s">
        <v>43</v>
      </c>
      <c r="I7" s="49" t="s">
        <v>40</v>
      </c>
      <c r="J7" s="50">
        <f t="array" ref="J7">MAX(IF(H7=$D$3:$D$62,IF(I7=$C$3:$C$62,$E$3:$E$62)))</f>
        <v>8864</v>
      </c>
    </row>
    <row r="8" spans="2:10" x14ac:dyDescent="0.25">
      <c r="B8" s="42">
        <v>41066</v>
      </c>
      <c r="C8" s="43" t="s">
        <v>40</v>
      </c>
      <c r="D8" s="43" t="s">
        <v>49</v>
      </c>
      <c r="E8" s="44">
        <v>5544</v>
      </c>
      <c r="H8" s="48" t="s">
        <v>43</v>
      </c>
      <c r="I8" s="49" t="s">
        <v>45</v>
      </c>
      <c r="J8" s="50">
        <f t="array" ref="J8">MAX(IF(H8=$D$3:$D$62,IF(I8=$C$3:$C$62,$E$3:$E$62)))</f>
        <v>9877</v>
      </c>
    </row>
    <row r="9" spans="2:10" x14ac:dyDescent="0.25">
      <c r="B9" s="42">
        <v>41067</v>
      </c>
      <c r="C9" s="43" t="s">
        <v>40</v>
      </c>
      <c r="D9" s="43" t="s">
        <v>41</v>
      </c>
      <c r="E9" s="44">
        <v>8092</v>
      </c>
      <c r="H9" s="48" t="s">
        <v>43</v>
      </c>
      <c r="I9" s="49" t="s">
        <v>47</v>
      </c>
      <c r="J9" s="50">
        <f t="array" ref="J9">MAX(IF(H9=$D$3:$D$62,IF(I9=$C$3:$C$62,$E$3:$E$62)))</f>
        <v>8391</v>
      </c>
    </row>
    <row r="10" spans="2:10" x14ac:dyDescent="0.25">
      <c r="B10" s="42">
        <v>41068</v>
      </c>
      <c r="C10" s="43" t="s">
        <v>40</v>
      </c>
      <c r="D10" s="43" t="s">
        <v>43</v>
      </c>
      <c r="E10" s="44">
        <v>8864</v>
      </c>
      <c r="H10" s="48" t="s">
        <v>44</v>
      </c>
      <c r="I10" s="49" t="s">
        <v>40</v>
      </c>
      <c r="J10" s="50">
        <f t="array" ref="J10">MAX(IF(H10=$D$3:$D$62,IF(I10=$C$3:$C$62,$E$3:$E$62)))</f>
        <v>2964</v>
      </c>
    </row>
    <row r="11" spans="2:10" x14ac:dyDescent="0.25">
      <c r="B11" s="42">
        <v>41069</v>
      </c>
      <c r="C11" s="43" t="s">
        <v>40</v>
      </c>
      <c r="D11" s="43" t="s">
        <v>44</v>
      </c>
      <c r="E11" s="44">
        <v>2144</v>
      </c>
      <c r="H11" s="48" t="s">
        <v>44</v>
      </c>
      <c r="I11" s="49" t="s">
        <v>45</v>
      </c>
      <c r="J11" s="50">
        <f t="array" ref="J11">MAX(IF(H11=$D$3:$D$62,IF(I11=$C$3:$C$62,$E$3:$E$62)))</f>
        <v>9156</v>
      </c>
    </row>
    <row r="12" spans="2:10" x14ac:dyDescent="0.25">
      <c r="B12" s="42">
        <v>41070</v>
      </c>
      <c r="C12" s="43" t="s">
        <v>40</v>
      </c>
      <c r="D12" s="43" t="s">
        <v>46</v>
      </c>
      <c r="E12" s="44">
        <v>4865</v>
      </c>
      <c r="H12" s="51" t="s">
        <v>44</v>
      </c>
      <c r="I12" s="52" t="s">
        <v>47</v>
      </c>
      <c r="J12" s="50">
        <f t="array" ref="J12">MAX(IF(H12=$D$3:$D$62,IF(I12=$C$3:$C$62,$E$3:$E$62)))</f>
        <v>9968</v>
      </c>
    </row>
    <row r="13" spans="2:10" x14ac:dyDescent="0.25">
      <c r="B13" s="42">
        <v>41071</v>
      </c>
      <c r="C13" s="43" t="s">
        <v>40</v>
      </c>
      <c r="D13" s="43" t="s">
        <v>48</v>
      </c>
      <c r="E13" s="44">
        <v>7852</v>
      </c>
      <c r="H13" s="53"/>
    </row>
    <row r="14" spans="2:10" x14ac:dyDescent="0.25">
      <c r="B14" s="42">
        <v>41072</v>
      </c>
      <c r="C14" s="43" t="s">
        <v>40</v>
      </c>
      <c r="D14" s="43" t="s">
        <v>49</v>
      </c>
      <c r="E14" s="44">
        <v>3255</v>
      </c>
    </row>
    <row r="15" spans="2:10" x14ac:dyDescent="0.25">
      <c r="B15" s="42">
        <v>41073</v>
      </c>
      <c r="C15" s="43" t="s">
        <v>40</v>
      </c>
      <c r="D15" s="43" t="s">
        <v>41</v>
      </c>
      <c r="E15" s="44">
        <v>4947</v>
      </c>
    </row>
    <row r="16" spans="2:10" x14ac:dyDescent="0.25">
      <c r="B16" s="42">
        <v>41074</v>
      </c>
      <c r="C16" s="43" t="s">
        <v>40</v>
      </c>
      <c r="D16" s="43" t="s">
        <v>43</v>
      </c>
      <c r="E16" s="44">
        <v>8502</v>
      </c>
    </row>
    <row r="17" spans="2:5" x14ac:dyDescent="0.25">
      <c r="B17" s="42">
        <v>41075</v>
      </c>
      <c r="C17" s="43" t="s">
        <v>40</v>
      </c>
      <c r="D17" s="43" t="s">
        <v>44</v>
      </c>
      <c r="E17" s="44">
        <v>1807</v>
      </c>
    </row>
    <row r="18" spans="2:5" x14ac:dyDescent="0.25">
      <c r="B18" s="42">
        <v>41076</v>
      </c>
      <c r="C18" s="43" t="s">
        <v>40</v>
      </c>
      <c r="D18" s="43" t="s">
        <v>46</v>
      </c>
      <c r="E18" s="44">
        <v>7919</v>
      </c>
    </row>
    <row r="19" spans="2:5" x14ac:dyDescent="0.25">
      <c r="B19" s="42">
        <v>41077</v>
      </c>
      <c r="C19" s="43" t="s">
        <v>40</v>
      </c>
      <c r="D19" s="43" t="s">
        <v>48</v>
      </c>
      <c r="E19" s="44">
        <v>7135</v>
      </c>
    </row>
    <row r="20" spans="2:5" x14ac:dyDescent="0.25">
      <c r="B20" s="42">
        <v>41078</v>
      </c>
      <c r="C20" s="43" t="s">
        <v>40</v>
      </c>
      <c r="D20" s="43" t="s">
        <v>49</v>
      </c>
      <c r="E20" s="44">
        <v>9443</v>
      </c>
    </row>
    <row r="21" spans="2:5" x14ac:dyDescent="0.25">
      <c r="B21" s="42">
        <v>41079</v>
      </c>
      <c r="C21" s="43" t="s">
        <v>40</v>
      </c>
      <c r="D21" s="43" t="s">
        <v>41</v>
      </c>
      <c r="E21" s="44">
        <v>9754</v>
      </c>
    </row>
    <row r="22" spans="2:5" x14ac:dyDescent="0.25">
      <c r="B22" s="42">
        <v>41080</v>
      </c>
      <c r="C22" s="43" t="s">
        <v>40</v>
      </c>
      <c r="D22" s="43" t="s">
        <v>43</v>
      </c>
      <c r="E22" s="44">
        <v>5068</v>
      </c>
    </row>
    <row r="23" spans="2:5" x14ac:dyDescent="0.25">
      <c r="B23" s="42">
        <v>41061</v>
      </c>
      <c r="C23" s="43" t="s">
        <v>45</v>
      </c>
      <c r="D23" s="43" t="s">
        <v>41</v>
      </c>
      <c r="E23" s="44">
        <v>5140</v>
      </c>
    </row>
    <row r="24" spans="2:5" x14ac:dyDescent="0.25">
      <c r="B24" s="42">
        <v>41062</v>
      </c>
      <c r="C24" s="43" t="s">
        <v>45</v>
      </c>
      <c r="D24" s="43" t="s">
        <v>43</v>
      </c>
      <c r="E24" s="44">
        <v>1176</v>
      </c>
    </row>
    <row r="25" spans="2:5" x14ac:dyDescent="0.25">
      <c r="B25" s="42">
        <v>41063</v>
      </c>
      <c r="C25" s="43" t="s">
        <v>45</v>
      </c>
      <c r="D25" s="43" t="s">
        <v>44</v>
      </c>
      <c r="E25" s="44">
        <v>3526</v>
      </c>
    </row>
    <row r="26" spans="2:5" x14ac:dyDescent="0.25">
      <c r="B26" s="42">
        <v>41064</v>
      </c>
      <c r="C26" s="43" t="s">
        <v>45</v>
      </c>
      <c r="D26" s="43" t="s">
        <v>46</v>
      </c>
      <c r="E26" s="44">
        <v>2355</v>
      </c>
    </row>
    <row r="27" spans="2:5" x14ac:dyDescent="0.25">
      <c r="B27" s="42">
        <v>41065</v>
      </c>
      <c r="C27" s="43" t="s">
        <v>45</v>
      </c>
      <c r="D27" s="43" t="s">
        <v>48</v>
      </c>
      <c r="E27" s="44">
        <v>6561</v>
      </c>
    </row>
    <row r="28" spans="2:5" x14ac:dyDescent="0.25">
      <c r="B28" s="42">
        <v>41066</v>
      </c>
      <c r="C28" s="43" t="s">
        <v>45</v>
      </c>
      <c r="D28" s="43" t="s">
        <v>49</v>
      </c>
      <c r="E28" s="44">
        <v>1903</v>
      </c>
    </row>
    <row r="29" spans="2:5" x14ac:dyDescent="0.25">
      <c r="B29" s="42">
        <v>41067</v>
      </c>
      <c r="C29" s="43" t="s">
        <v>45</v>
      </c>
      <c r="D29" s="43" t="s">
        <v>41</v>
      </c>
      <c r="E29" s="44">
        <v>3086</v>
      </c>
    </row>
    <row r="30" spans="2:5" x14ac:dyDescent="0.25">
      <c r="B30" s="42">
        <v>41068</v>
      </c>
      <c r="C30" s="43" t="s">
        <v>45</v>
      </c>
      <c r="D30" s="43" t="s">
        <v>43</v>
      </c>
      <c r="E30" s="44">
        <v>9877</v>
      </c>
    </row>
    <row r="31" spans="2:5" x14ac:dyDescent="0.25">
      <c r="B31" s="42">
        <v>41069</v>
      </c>
      <c r="C31" s="43" t="s">
        <v>45</v>
      </c>
      <c r="D31" s="43" t="s">
        <v>44</v>
      </c>
      <c r="E31" s="44">
        <v>9156</v>
      </c>
    </row>
    <row r="32" spans="2:5" x14ac:dyDescent="0.25">
      <c r="B32" s="42">
        <v>41070</v>
      </c>
      <c r="C32" s="43" t="s">
        <v>45</v>
      </c>
      <c r="D32" s="43" t="s">
        <v>46</v>
      </c>
      <c r="E32" s="44">
        <v>9534</v>
      </c>
    </row>
    <row r="33" spans="2:5" x14ac:dyDescent="0.25">
      <c r="B33" s="42">
        <v>41071</v>
      </c>
      <c r="C33" s="43" t="s">
        <v>45</v>
      </c>
      <c r="D33" s="43" t="s">
        <v>48</v>
      </c>
      <c r="E33" s="44">
        <v>9965</v>
      </c>
    </row>
    <row r="34" spans="2:5" x14ac:dyDescent="0.25">
      <c r="B34" s="42">
        <v>41072</v>
      </c>
      <c r="C34" s="43" t="s">
        <v>45</v>
      </c>
      <c r="D34" s="43" t="s">
        <v>49</v>
      </c>
      <c r="E34" s="44">
        <v>6599</v>
      </c>
    </row>
    <row r="35" spans="2:5" x14ac:dyDescent="0.25">
      <c r="B35" s="42">
        <v>41073</v>
      </c>
      <c r="C35" s="43" t="s">
        <v>45</v>
      </c>
      <c r="D35" s="43" t="s">
        <v>41</v>
      </c>
      <c r="E35" s="44">
        <v>6744</v>
      </c>
    </row>
    <row r="36" spans="2:5" x14ac:dyDescent="0.25">
      <c r="B36" s="42">
        <v>41074</v>
      </c>
      <c r="C36" s="43" t="s">
        <v>45</v>
      </c>
      <c r="D36" s="43" t="s">
        <v>43</v>
      </c>
      <c r="E36" s="44">
        <v>2240</v>
      </c>
    </row>
    <row r="37" spans="2:5" x14ac:dyDescent="0.25">
      <c r="B37" s="42">
        <v>41075</v>
      </c>
      <c r="C37" s="43" t="s">
        <v>45</v>
      </c>
      <c r="D37" s="43" t="s">
        <v>44</v>
      </c>
      <c r="E37" s="44">
        <v>6446</v>
      </c>
    </row>
    <row r="38" spans="2:5" x14ac:dyDescent="0.25">
      <c r="B38" s="42">
        <v>41076</v>
      </c>
      <c r="C38" s="43" t="s">
        <v>45</v>
      </c>
      <c r="D38" s="43" t="s">
        <v>46</v>
      </c>
      <c r="E38" s="44">
        <v>3672</v>
      </c>
    </row>
    <row r="39" spans="2:5" x14ac:dyDescent="0.25">
      <c r="B39" s="42">
        <v>41077</v>
      </c>
      <c r="C39" s="43" t="s">
        <v>45</v>
      </c>
      <c r="D39" s="43" t="s">
        <v>48</v>
      </c>
      <c r="E39" s="44">
        <v>3640</v>
      </c>
    </row>
    <row r="40" spans="2:5" x14ac:dyDescent="0.25">
      <c r="B40" s="42">
        <v>41078</v>
      </c>
      <c r="C40" s="43" t="s">
        <v>45</v>
      </c>
      <c r="D40" s="43" t="s">
        <v>49</v>
      </c>
      <c r="E40" s="44">
        <v>9595</v>
      </c>
    </row>
    <row r="41" spans="2:5" x14ac:dyDescent="0.25">
      <c r="B41" s="42">
        <v>41079</v>
      </c>
      <c r="C41" s="43" t="s">
        <v>45</v>
      </c>
      <c r="D41" s="43" t="s">
        <v>41</v>
      </c>
      <c r="E41" s="44">
        <v>5196</v>
      </c>
    </row>
    <row r="42" spans="2:5" x14ac:dyDescent="0.25">
      <c r="B42" s="42">
        <v>41080</v>
      </c>
      <c r="C42" s="43" t="s">
        <v>45</v>
      </c>
      <c r="D42" s="43" t="s">
        <v>43</v>
      </c>
      <c r="E42" s="44">
        <v>8329</v>
      </c>
    </row>
    <row r="43" spans="2:5" x14ac:dyDescent="0.25">
      <c r="B43" s="42">
        <v>41061</v>
      </c>
      <c r="C43" s="43" t="s">
        <v>47</v>
      </c>
      <c r="D43" s="43" t="s">
        <v>41</v>
      </c>
      <c r="E43" s="44">
        <v>6538</v>
      </c>
    </row>
    <row r="44" spans="2:5" x14ac:dyDescent="0.25">
      <c r="B44" s="42">
        <v>41062</v>
      </c>
      <c r="C44" s="43" t="s">
        <v>47</v>
      </c>
      <c r="D44" s="43" t="s">
        <v>43</v>
      </c>
      <c r="E44" s="44">
        <v>7450</v>
      </c>
    </row>
    <row r="45" spans="2:5" x14ac:dyDescent="0.25">
      <c r="B45" s="42">
        <v>41063</v>
      </c>
      <c r="C45" s="43" t="s">
        <v>47</v>
      </c>
      <c r="D45" s="43" t="s">
        <v>44</v>
      </c>
      <c r="E45" s="44">
        <v>9968</v>
      </c>
    </row>
    <row r="46" spans="2:5" x14ac:dyDescent="0.25">
      <c r="B46" s="42">
        <v>41064</v>
      </c>
      <c r="C46" s="43" t="s">
        <v>47</v>
      </c>
      <c r="D46" s="43" t="s">
        <v>46</v>
      </c>
      <c r="E46" s="44">
        <v>4135</v>
      </c>
    </row>
    <row r="47" spans="2:5" x14ac:dyDescent="0.25">
      <c r="B47" s="42">
        <v>41065</v>
      </c>
      <c r="C47" s="43" t="s">
        <v>47</v>
      </c>
      <c r="D47" s="43" t="s">
        <v>48</v>
      </c>
      <c r="E47" s="44">
        <v>7929</v>
      </c>
    </row>
    <row r="48" spans="2:5" x14ac:dyDescent="0.25">
      <c r="B48" s="42">
        <v>41066</v>
      </c>
      <c r="C48" s="43" t="s">
        <v>47</v>
      </c>
      <c r="D48" s="43" t="s">
        <v>49</v>
      </c>
      <c r="E48" s="44">
        <v>3688</v>
      </c>
    </row>
    <row r="49" spans="2:5" x14ac:dyDescent="0.25">
      <c r="B49" s="42">
        <v>41067</v>
      </c>
      <c r="C49" s="43" t="s">
        <v>47</v>
      </c>
      <c r="D49" s="43" t="s">
        <v>41</v>
      </c>
      <c r="E49" s="44">
        <v>3276</v>
      </c>
    </row>
    <row r="50" spans="2:5" x14ac:dyDescent="0.25">
      <c r="B50" s="42">
        <v>41068</v>
      </c>
      <c r="C50" s="43" t="s">
        <v>47</v>
      </c>
      <c r="D50" s="43" t="s">
        <v>43</v>
      </c>
      <c r="E50" s="44">
        <v>4795</v>
      </c>
    </row>
    <row r="51" spans="2:5" x14ac:dyDescent="0.25">
      <c r="B51" s="42">
        <v>41069</v>
      </c>
      <c r="C51" s="43" t="s">
        <v>47</v>
      </c>
      <c r="D51" s="43" t="s">
        <v>44</v>
      </c>
      <c r="E51" s="44">
        <v>9637</v>
      </c>
    </row>
    <row r="52" spans="2:5" x14ac:dyDescent="0.25">
      <c r="B52" s="42">
        <v>41070</v>
      </c>
      <c r="C52" s="43" t="s">
        <v>47</v>
      </c>
      <c r="D52" s="43" t="s">
        <v>46</v>
      </c>
      <c r="E52" s="44">
        <v>1624</v>
      </c>
    </row>
    <row r="53" spans="2:5" x14ac:dyDescent="0.25">
      <c r="B53" s="42">
        <v>41071</v>
      </c>
      <c r="C53" s="43" t="s">
        <v>47</v>
      </c>
      <c r="D53" s="43" t="s">
        <v>48</v>
      </c>
      <c r="E53" s="44">
        <v>3641</v>
      </c>
    </row>
    <row r="54" spans="2:5" x14ac:dyDescent="0.25">
      <c r="B54" s="42">
        <v>41072</v>
      </c>
      <c r="C54" s="43" t="s">
        <v>47</v>
      </c>
      <c r="D54" s="43" t="s">
        <v>49</v>
      </c>
      <c r="E54" s="44">
        <v>1365</v>
      </c>
    </row>
    <row r="55" spans="2:5" x14ac:dyDescent="0.25">
      <c r="B55" s="42">
        <v>41073</v>
      </c>
      <c r="C55" s="43" t="s">
        <v>47</v>
      </c>
      <c r="D55" s="43" t="s">
        <v>41</v>
      </c>
      <c r="E55" s="44">
        <v>8599</v>
      </c>
    </row>
    <row r="56" spans="2:5" x14ac:dyDescent="0.25">
      <c r="B56" s="42">
        <v>41074</v>
      </c>
      <c r="C56" s="43" t="s">
        <v>47</v>
      </c>
      <c r="D56" s="43" t="s">
        <v>43</v>
      </c>
      <c r="E56" s="44">
        <v>8391</v>
      </c>
    </row>
    <row r="57" spans="2:5" x14ac:dyDescent="0.25">
      <c r="B57" s="42">
        <v>41075</v>
      </c>
      <c r="C57" s="43" t="s">
        <v>47</v>
      </c>
      <c r="D57" s="43" t="s">
        <v>44</v>
      </c>
      <c r="E57" s="44">
        <v>6595</v>
      </c>
    </row>
    <row r="58" spans="2:5" x14ac:dyDescent="0.25">
      <c r="B58" s="42">
        <v>41076</v>
      </c>
      <c r="C58" s="43" t="s">
        <v>47</v>
      </c>
      <c r="D58" s="43" t="s">
        <v>46</v>
      </c>
      <c r="E58" s="44">
        <v>3300</v>
      </c>
    </row>
    <row r="59" spans="2:5" x14ac:dyDescent="0.25">
      <c r="B59" s="42">
        <v>41077</v>
      </c>
      <c r="C59" s="43" t="s">
        <v>47</v>
      </c>
      <c r="D59" s="43" t="s">
        <v>48</v>
      </c>
      <c r="E59" s="44">
        <v>7142</v>
      </c>
    </row>
    <row r="60" spans="2:5" x14ac:dyDescent="0.25">
      <c r="B60" s="42">
        <v>41078</v>
      </c>
      <c r="C60" s="43" t="s">
        <v>47</v>
      </c>
      <c r="D60" s="43" t="s">
        <v>49</v>
      </c>
      <c r="E60" s="44">
        <v>4373</v>
      </c>
    </row>
    <row r="61" spans="2:5" x14ac:dyDescent="0.25">
      <c r="B61" s="42">
        <v>41079</v>
      </c>
      <c r="C61" s="43" t="s">
        <v>47</v>
      </c>
      <c r="D61" s="43" t="s">
        <v>41</v>
      </c>
      <c r="E61" s="44">
        <v>3737</v>
      </c>
    </row>
    <row r="62" spans="2:5" x14ac:dyDescent="0.25">
      <c r="B62" s="42">
        <v>41080</v>
      </c>
      <c r="C62" s="43" t="s">
        <v>47</v>
      </c>
      <c r="D62" s="43" t="s">
        <v>43</v>
      </c>
      <c r="E62" s="44">
        <v>4360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CONTEÚDO</vt:lpstr>
      <vt:lpstr>EXPLICAÇÃO</vt:lpstr>
      <vt:lpstr>CONTEÚDO (2)</vt:lpstr>
      <vt:lpstr>EXERCÍCIOS</vt:lpstr>
      <vt:lpstr>EXERCICIO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Jackles Kerley</cp:lastModifiedBy>
  <dcterms:created xsi:type="dcterms:W3CDTF">2015-11-17T16:12:59Z</dcterms:created>
  <dcterms:modified xsi:type="dcterms:W3CDTF">2022-01-19T17:03:05Z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ab085282-8999-45bd-b0ad-76bdc2cae01c</vt:lpwstr>
  </property>
</Properties>
</file>